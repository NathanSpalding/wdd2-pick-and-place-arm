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0" authorId="0">
      <text>
        <r>
          <rPr>
            <sz val="10"/>
            <rFont val="Arial"/>
            <family val="2"/>
          </rPr>
          <t xml:space="preserve">Filament price per kg (from column B). Printed-part costs use this cell.</t>
        </r>
      </text>
    </comment>
    <comment ref="H20" authorId="0">
      <text>
        <r>
          <rPr>
            <sz val="10"/>
            <rFont val="Arial"/>
            <family val="2"/>
          </rPr>
          <t xml:space="preserve">Price is for the 3 m pre-cut length, so line total = unit price.</t>
        </r>
      </text>
    </comment>
  </commentList>
</comments>
</file>

<file path=xl/sharedStrings.xml><?xml version="1.0" encoding="utf-8"?>
<sst xmlns="http://schemas.openxmlformats.org/spreadsheetml/2006/main" count="155" uniqueCount="123">
  <si>
    <t xml:space="preserve">BOM</t>
  </si>
  <si>
    <t xml:space="preserve">Description </t>
  </si>
  <si>
    <t xml:space="preserve">QTY</t>
  </si>
  <si>
    <t xml:space="preserve">UNIT PRICE</t>
  </si>
  <si>
    <t xml:space="preserve">LINK</t>
  </si>
  <si>
    <t xml:space="preserve">MATERIAL</t>
  </si>
  <si>
    <t xml:space="preserve">INFILL</t>
  </si>
  <si>
    <t xml:space="preserve">MASS PER PART (g)</t>
  </si>
  <si>
    <t xml:space="preserve">LINE TOTAL (R)</t>
  </si>
  <si>
    <t xml:space="preserve">Servo Motors</t>
  </si>
  <si>
    <t xml:space="preserve">MG996R</t>
  </si>
  <si>
    <t xml:space="preserve">https://www.takealot.com/cmu-mg996r-towerpro-11kg-metal-gear-rc-servo-motor-180-4-8-6-6v/PLID100881340</t>
  </si>
  <si>
    <t xml:space="preserve">DS3225</t>
  </si>
  <si>
    <t xml:space="preserve">https://www.amazon.com/dp/B0CNTG877G?ref=ppx_yo2ov_dt_b_fed_asin_title&amp;th=1</t>
  </si>
  <si>
    <t xml:space="preserve">DS3240</t>
  </si>
  <si>
    <t xml:space="preserve">https://www.robotics.org.za/DS3240-270-FB</t>
  </si>
  <si>
    <t xml:space="preserve">DS5180</t>
  </si>
  <si>
    <t xml:space="preserve">https://www.robotics.org.za/DS5180-270-FB</t>
  </si>
  <si>
    <t xml:space="preserve">Servo Horns</t>
  </si>
  <si>
    <t xml:space="preserve">25T for DS32 series</t>
  </si>
  <si>
    <t xml:space="preserve">18T for DS51 series</t>
  </si>
  <si>
    <t xml:space="preserve">Electrical</t>
  </si>
  <si>
    <t xml:space="preserve">ESP S3 - N16R8</t>
  </si>
  <si>
    <t xml:space="preserve">https://www.robotics.org.za/ESP32-S3-N16R8</t>
  </si>
  <si>
    <t xml:space="preserve">XL4016 Voltage Regulator</t>
  </si>
  <si>
    <t xml:space="preserve">https://www.robotics.org.za/XL4016</t>
  </si>
  <si>
    <t xml:space="preserve">INA219 Current Sensor</t>
  </si>
  <si>
    <t xml:space="preserve">https://www.robotics.org.za/INA219-MOD</t>
  </si>
  <si>
    <t xml:space="preserve">TCA9548A I2C mux</t>
  </si>
  <si>
    <t xml:space="preserve">https://www.takealot.com/tca9548a-i2c-iic-multiplexer-breakout-board-8-channel-expansion/PLID101395334</t>
  </si>
  <si>
    <t xml:space="preserve">XT60 Connector</t>
  </si>
  <si>
    <t xml:space="preserve">https://www.robotics.org.za/XT60-KIT</t>
  </si>
  <si>
    <t xml:space="preserve">3 Prong Plug</t>
  </si>
  <si>
    <t xml:space="preserve">https://www.builders.co.za/Electrical-and-Electronics/Plugs-Sockets-and-Switches/Multi-Plugs/Electricmate-Solid-Rubber-3-Prong-Plug-Top-Black-10-A/p/000000000000754267</t>
  </si>
  <si>
    <t xml:space="preserve">Cabtyre 1.5mm X3 Core</t>
  </si>
  <si>
    <t xml:space="preserve">3m</t>
  </si>
  <si>
    <t xml:space="preserve">https://www.builders.co.za/Electrical-and-Electronics/Wiring/Pre-Cut-Cables/waco-cabtyre-cable-black-3000-x-1-mm/p/000000850032252001</t>
  </si>
  <si>
    <t xml:space="preserve">Blade 30 A Fuse holder</t>
  </si>
  <si>
    <t xml:space="preserve">https://www.robotics.org.za/BLADE-30A-CAP</t>
  </si>
  <si>
    <t xml:space="preserve">PBME16TR-M4AL Emergency Stop Switch 16mm 2c/o Latching Twist Reset</t>
  </si>
  <si>
    <t xml:space="preserve">https://www.communica.co.za/products/pbme16tr-m4al?variant=30700683788361</t>
  </si>
  <si>
    <t xml:space="preserve">12V 20A 300W DC Power Supply</t>
  </si>
  <si>
    <t xml:space="preserve">https://www.takealot.com/12v-20a-300w-professional-dc-power-supply/PLID95767010</t>
  </si>
  <si>
    <t xml:space="preserve">15A Blade Fuse</t>
  </si>
  <si>
    <t xml:space="preserve">https://www.takealot.com/motoquip-blade-fuses-15-amp/PLID40661066</t>
  </si>
  <si>
    <t xml:space="preserve">AS5600 Magnetic Encoder</t>
  </si>
  <si>
    <t xml:space="preserve">https://www.amazon.com/dp/B0CM3C8KFT?ref=ppx_yo2ov_dt_b_fed_asin_title</t>
  </si>
  <si>
    <t xml:space="preserve">5V 1A Buck Regulator</t>
  </si>
  <si>
    <t xml:space="preserve">https://www.robotics.org.za/5V1A-BUCK-REG</t>
  </si>
  <si>
    <t xml:space="preserve">5-Pin 12V DC 40A Vehicle Car Relay</t>
  </si>
  <si>
    <t xml:space="preserve">https://www.takealot.com/5-pin-12v-dc-40a-vehicle-car-relay/PLID99141473</t>
  </si>
  <si>
    <t xml:space="preserve">470 uF Capacitor</t>
  </si>
  <si>
    <t xml:space="preserve">Electrical Labs</t>
  </si>
  <si>
    <t xml:space="preserve">100nF Capacitor</t>
  </si>
  <si>
    <t xml:space="preserve">10k ohm Resistor</t>
  </si>
  <si>
    <t xml:space="preserve">1N4007 Diode 10 Pack</t>
  </si>
  <si>
    <t xml:space="preserve">https://www.robotics.org.za/1N4007-10</t>
  </si>
  <si>
    <t xml:space="preserve">Servo Wire Extension Kit</t>
  </si>
  <si>
    <t xml:space="preserve">https://www.robotics.org.za/SERVO-KIT</t>
  </si>
  <si>
    <t xml:space="preserve">KF120 Screw Terminal Block Kit - 2.54mm (50 Pieces)</t>
  </si>
  <si>
    <t xml:space="preserve">https://www.robotics.org.za/KF120-KIT-50</t>
  </si>
  <si>
    <t xml:space="preserve">KF120 Screw Terminal Block 16 Pin - 2.54mm</t>
  </si>
  <si>
    <t xml:space="preserve">https://www.robotics.org.za/KF120-16P-254</t>
  </si>
  <si>
    <t xml:space="preserve">Screw Terminal Block 4 Pin - 5mm (10 Pack)</t>
  </si>
  <si>
    <t xml:space="preserve">https://www.robotics.org.za/KF301-4P</t>
  </si>
  <si>
    <t xml:space="preserve">14 AWG (2.5mm²) Silicone Wire - Red, 1 m</t>
  </si>
  <si>
    <t xml:space="preserve">https://electromannsa.co.za/products/1meter-high-temperature-resistant-2-5mm-14awg-silicone-cable-red</t>
  </si>
  <si>
    <t xml:space="preserve">14 AWG (2.5mm²) Silicone Wire - Black, 1 m</t>
  </si>
  <si>
    <t xml:space="preserve">https://electromannsa.co.za/products/1meter-high-temperature-resistant-2-5mm-14awg-silicone-cable-black</t>
  </si>
  <si>
    <t xml:space="preserve">Protoboard 70 x 90mm (4 Pack)</t>
  </si>
  <si>
    <t xml:space="preserve">https://www.robotics.org.za/DS-7090-254</t>
  </si>
  <si>
    <t xml:space="preserve">Fasteners + shafts</t>
  </si>
  <si>
    <t xml:space="preserve">350Pcs Threaded Inserts, M2-M6 Heat Set Inserts for 3D Printing</t>
  </si>
  <si>
    <t xml:space="preserve">https://www.amazon.com/dp/B0FVKYJ83G?ref=ppx_yo2ov_dt_b_fed_asin_title&amp;th=1</t>
  </si>
  <si>
    <t xml:space="preserve">860Pcs M2-M5 Metric Screws, 12.9 Alloy Steel Hex Bolts &amp; Nuts Kit</t>
  </si>
  <si>
    <t xml:space="preserve">https://www.amazon.com/dp/B0DBLCHK48?ref=ppx_yo2ov_dt_b_fed_asin_title&amp;th=1</t>
  </si>
  <si>
    <t xml:space="preserve">8mm Aluminium Shaft</t>
  </si>
  <si>
    <t xml:space="preserve">Mechanical Labs</t>
  </si>
  <si>
    <t xml:space="preserve">Bearings</t>
  </si>
  <si>
    <t xml:space="preserve">683ZZ Ball Bearing 3 x 7 x 3mm (10 Pack)</t>
  </si>
  <si>
    <t xml:space="preserve">https://www.robotics.org.za/683ZZ</t>
  </si>
  <si>
    <t xml:space="preserve">KP08 Pillow Block Bearing 8mm Bore with Locking Collar (2 Pack, all 4 used)</t>
  </si>
  <si>
    <t xml:space="preserve">https://www.netram.co.za/bearings/8997-kp08-pillow-block-8mm-bore-2-pack.html</t>
  </si>
  <si>
    <t xml:space="preserve">3D Printing </t>
  </si>
  <si>
    <t xml:space="preserve">PLA-CF</t>
  </si>
  <si>
    <t xml:space="preserve">R500/kg</t>
  </si>
  <si>
    <t xml:space="preserve">PETG</t>
  </si>
  <si>
    <t xml:space="preserve">R350/kg</t>
  </si>
  <si>
    <t xml:space="preserve">End Effector</t>
  </si>
  <si>
    <t xml:space="preserve">Base1</t>
  </si>
  <si>
    <t xml:space="preserve">Base2</t>
  </si>
  <si>
    <t xml:space="preserve">Link</t>
  </si>
  <si>
    <t xml:space="preserve">Claw</t>
  </si>
  <si>
    <t xml:space="preserve">EndPad</t>
  </si>
  <si>
    <t xml:space="preserve">ServoGear</t>
  </si>
  <si>
    <t xml:space="preserve">GearArm</t>
  </si>
  <si>
    <t xml:space="preserve">MotorHousing</t>
  </si>
  <si>
    <t xml:space="preserve">Bracket</t>
  </si>
  <si>
    <t xml:space="preserve">AS5600 Cover</t>
  </si>
  <si>
    <t xml:space="preserve">Wrist</t>
  </si>
  <si>
    <t xml:space="preserve">Servo end</t>
  </si>
  <si>
    <t xml:space="preserve">Assembled total: end effector + wrist + MG996R</t>
  </si>
  <si>
    <t xml:space="preserve">ForeArm</t>
  </si>
  <si>
    <t xml:space="preserve">Link1</t>
  </si>
  <si>
    <t xml:space="preserve">UpperArm</t>
  </si>
  <si>
    <t xml:space="preserve">Link2</t>
  </si>
  <si>
    <t xml:space="preserve">Turntable </t>
  </si>
  <si>
    <t xml:space="preserve">Shoulder</t>
  </si>
  <si>
    <t xml:space="preserve">Base Coupling</t>
  </si>
  <si>
    <t xml:space="preserve">Base</t>
  </si>
  <si>
    <t xml:space="preserve">Electrical Housing </t>
  </si>
  <si>
    <t xml:space="preserve">60%</t>
  </si>
  <si>
    <t xml:space="preserve">Housing Cover 1</t>
  </si>
  <si>
    <t xml:space="preserve">Housing Cover 2</t>
  </si>
  <si>
    <t xml:space="preserve">COST SUMMARY</t>
  </si>
  <si>
    <t xml:space="preserve">Servo motors</t>
  </si>
  <si>
    <t xml:space="preserve">3D printing - PLA-CF</t>
  </si>
  <si>
    <t xml:space="preserve">3D printing - PETG</t>
  </si>
  <si>
    <t xml:space="preserve">3D printing total</t>
  </si>
  <si>
    <t xml:space="preserve">TOTAL COST</t>
  </si>
  <si>
    <t xml:space="preserve">Printed mass - PLA-CF (g)</t>
  </si>
  <si>
    <t xml:space="preserve">Printed mass - PETG (g)</t>
  </si>
  <si>
    <t xml:space="preserve">Not costed: servo horns (no price), lab-supplied parts (free), print supports/failed prints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</si>
</sst>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R#,##0;[RED]&quot;-R&quot;#,##0"/>
    <numFmt numFmtId="166" formatCode="\R#,##0.00"/>
    <numFmt numFmtId="167" formatCode="\R#,##0&quot;/kg&quot;"/>
    <numFmt numFmtId="168" formatCode="#,##0&quot; g&quot;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sz val="11"/>
      <color rgb="FF0F1111"/>
      <name val="Arial"/>
      <family val="2"/>
      <charset val="1"/>
    </font>
    <font>
      <i val="true"/>
      <sz val="11"/>
      <name val="Aptos Narrow"/>
      <family val="2"/>
      <charset val="1"/>
    </font>
    <font>
      <b val="true"/>
      <sz val="11"/>
      <name val="Aptos Narrow"/>
      <family val="0"/>
      <charset val="1"/>
    </font>
    <font>
      <i val="true"/>
      <sz val="11"/>
      <name val="Aptos Narrow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H54" activeCellId="0" sqref="H54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6.33"/>
    <col collapsed="false" customWidth="true" hidden="false" outlineLevel="0" max="3" min="3" style="1" width="9.67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9"/>
    <col collapsed="false" customWidth="true" hidden="false" outlineLevel="0" max="8" min="8" style="1" width="15"/>
  </cols>
  <sheetData>
    <row r="1" customFormat="false" ht="14.25" hidden="false" customHeight="true" outlineLevel="0" collapsed="false">
      <c r="A1" s="1" t="s">
        <v>0</v>
      </c>
    </row>
    <row r="3" customFormat="false" ht="14.25" hidden="false" customHeight="tru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 t="s">
        <v>8</v>
      </c>
    </row>
    <row r="4" customFormat="false" ht="14.25" hidden="false" customHeight="true" outlineLevel="0" collapsed="false">
      <c r="A4" s="1" t="s">
        <v>9</v>
      </c>
    </row>
    <row r="5" customFormat="false" ht="14.25" hidden="false" customHeight="true" outlineLevel="0" collapsed="false">
      <c r="A5" s="1" t="s">
        <v>10</v>
      </c>
      <c r="B5" s="1" t="n">
        <v>1</v>
      </c>
      <c r="C5" s="3" t="n">
        <v>129</v>
      </c>
      <c r="D5" s="1" t="s">
        <v>11</v>
      </c>
      <c r="H5" s="4" t="n">
        <f aca="false">B5*C5</f>
        <v>129</v>
      </c>
    </row>
    <row r="6" customFormat="false" ht="14.25" hidden="false" customHeight="true" outlineLevel="0" collapsed="false">
      <c r="A6" s="1" t="s">
        <v>12</v>
      </c>
      <c r="B6" s="1" t="n">
        <v>1</v>
      </c>
      <c r="C6" s="3" t="n">
        <v>295</v>
      </c>
      <c r="D6" s="1" t="s">
        <v>13</v>
      </c>
      <c r="H6" s="4" t="n">
        <f aca="false">B6*C6</f>
        <v>295</v>
      </c>
    </row>
    <row r="7" customFormat="false" ht="14.25" hidden="false" customHeight="true" outlineLevel="0" collapsed="false">
      <c r="A7" s="1" t="s">
        <v>14</v>
      </c>
      <c r="B7" s="1" t="n">
        <v>2</v>
      </c>
      <c r="C7" s="3" t="n">
        <v>238</v>
      </c>
      <c r="D7" s="1" t="s">
        <v>15</v>
      </c>
      <c r="H7" s="4" t="n">
        <f aca="false">B7*C7</f>
        <v>476</v>
      </c>
    </row>
    <row r="8" customFormat="false" ht="14.25" hidden="false" customHeight="true" outlineLevel="0" collapsed="false">
      <c r="A8" s="1" t="s">
        <v>16</v>
      </c>
      <c r="B8" s="1" t="n">
        <v>1</v>
      </c>
      <c r="C8" s="3" t="n">
        <v>398</v>
      </c>
      <c r="D8" s="1" t="s">
        <v>17</v>
      </c>
      <c r="H8" s="4" t="n">
        <f aca="false">B8*C8</f>
        <v>398</v>
      </c>
    </row>
    <row r="9" customFormat="false" ht="14.25" hidden="false" customHeight="true" outlineLevel="0" collapsed="false">
      <c r="A9" s="1" t="s">
        <v>18</v>
      </c>
    </row>
    <row r="10" customFormat="false" ht="14.25" hidden="false" customHeight="true" outlineLevel="0" collapsed="false">
      <c r="A10" s="1" t="s">
        <v>19</v>
      </c>
      <c r="B10" s="1" t="n">
        <v>3</v>
      </c>
    </row>
    <row r="11" customFormat="false" ht="14.25" hidden="false" customHeight="true" outlineLevel="0" collapsed="false">
      <c r="A11" s="1" t="s">
        <v>20</v>
      </c>
      <c r="B11" s="1" t="n">
        <v>1</v>
      </c>
    </row>
    <row r="13" customFormat="false" ht="14.25" hidden="false" customHeight="true" outlineLevel="0" collapsed="false">
      <c r="A13" s="1" t="s">
        <v>21</v>
      </c>
    </row>
    <row r="14" customFormat="false" ht="14.25" hidden="false" customHeight="true" outlineLevel="0" collapsed="false">
      <c r="A14" s="1" t="s">
        <v>22</v>
      </c>
      <c r="B14" s="1" t="n">
        <v>1</v>
      </c>
      <c r="C14" s="3" t="n">
        <v>178</v>
      </c>
      <c r="D14" s="1" t="s">
        <v>23</v>
      </c>
      <c r="H14" s="4" t="n">
        <f aca="false">B14*C14</f>
        <v>178</v>
      </c>
    </row>
    <row r="15" customFormat="false" ht="14.25" hidden="false" customHeight="true" outlineLevel="0" collapsed="false">
      <c r="A15" s="1" t="s">
        <v>24</v>
      </c>
      <c r="B15" s="1" t="n">
        <v>3</v>
      </c>
      <c r="C15" s="3" t="n">
        <v>58</v>
      </c>
      <c r="D15" s="1" t="s">
        <v>25</v>
      </c>
      <c r="H15" s="4" t="n">
        <f aca="false">B15*C15</f>
        <v>174</v>
      </c>
    </row>
    <row r="16" customFormat="false" ht="14.25" hidden="false" customHeight="true" outlineLevel="0" collapsed="false">
      <c r="A16" s="1" t="s">
        <v>26</v>
      </c>
      <c r="B16" s="1" t="n">
        <v>1</v>
      </c>
      <c r="C16" s="3" t="n">
        <v>28</v>
      </c>
      <c r="D16" s="1" t="s">
        <v>27</v>
      </c>
      <c r="H16" s="4" t="n">
        <f aca="false">B16*C16</f>
        <v>28</v>
      </c>
    </row>
    <row r="17" customFormat="false" ht="14.25" hidden="false" customHeight="true" outlineLevel="0" collapsed="false">
      <c r="A17" s="1" t="s">
        <v>28</v>
      </c>
      <c r="B17" s="1" t="n">
        <v>1</v>
      </c>
      <c r="C17" s="3" t="n">
        <v>63</v>
      </c>
      <c r="D17" s="1" t="s">
        <v>29</v>
      </c>
      <c r="H17" s="4" t="n">
        <f aca="false">B17*C17</f>
        <v>63</v>
      </c>
    </row>
    <row r="18" customFormat="false" ht="14.25" hidden="false" customHeight="true" outlineLevel="0" collapsed="false">
      <c r="A18" s="1" t="s">
        <v>30</v>
      </c>
      <c r="B18" s="1" t="n">
        <v>1</v>
      </c>
      <c r="C18" s="3" t="n">
        <v>23</v>
      </c>
      <c r="D18" s="1" t="s">
        <v>31</v>
      </c>
      <c r="H18" s="4" t="n">
        <f aca="false">B18*C18</f>
        <v>23</v>
      </c>
    </row>
    <row r="19" customFormat="false" ht="14.25" hidden="false" customHeight="true" outlineLevel="0" collapsed="false">
      <c r="A19" s="1" t="s">
        <v>32</v>
      </c>
      <c r="B19" s="1" t="n">
        <v>1</v>
      </c>
      <c r="C19" s="3" t="n">
        <v>59</v>
      </c>
      <c r="D19" s="1" t="s">
        <v>33</v>
      </c>
      <c r="H19" s="4" t="n">
        <f aca="false">B19*C19</f>
        <v>59</v>
      </c>
    </row>
    <row r="20" customFormat="false" ht="14.25" hidden="false" customHeight="true" outlineLevel="0" collapsed="false">
      <c r="A20" s="1" t="s">
        <v>34</v>
      </c>
      <c r="B20" s="1" t="s">
        <v>35</v>
      </c>
      <c r="C20" s="3" t="n">
        <v>35</v>
      </c>
      <c r="D20" s="1" t="s">
        <v>36</v>
      </c>
      <c r="H20" s="4" t="n">
        <f aca="false">C20</f>
        <v>35</v>
      </c>
    </row>
    <row r="21" customFormat="false" ht="14.25" hidden="false" customHeight="true" outlineLevel="0" collapsed="false">
      <c r="A21" s="1" t="s">
        <v>37</v>
      </c>
      <c r="B21" s="1" t="n">
        <v>1</v>
      </c>
      <c r="C21" s="3" t="n">
        <v>12</v>
      </c>
      <c r="D21" s="1" t="s">
        <v>38</v>
      </c>
      <c r="H21" s="4" t="n">
        <f aca="false">B21*C21</f>
        <v>12</v>
      </c>
    </row>
    <row r="22" customFormat="false" ht="14.25" hidden="false" customHeight="true" outlineLevel="0" collapsed="false">
      <c r="A22" s="1" t="s">
        <v>39</v>
      </c>
      <c r="B22" s="1" t="n">
        <v>1</v>
      </c>
      <c r="C22" s="3" t="n">
        <v>158</v>
      </c>
      <c r="D22" s="1" t="s">
        <v>40</v>
      </c>
      <c r="H22" s="4" t="n">
        <f aca="false">B22*C22</f>
        <v>158</v>
      </c>
    </row>
    <row r="23" customFormat="false" ht="14.25" hidden="false" customHeight="true" outlineLevel="0" collapsed="false">
      <c r="A23" s="1" t="s">
        <v>41</v>
      </c>
      <c r="B23" s="1" t="n">
        <v>1</v>
      </c>
      <c r="C23" s="3" t="n">
        <v>211</v>
      </c>
      <c r="D23" s="1" t="s">
        <v>42</v>
      </c>
      <c r="H23" s="4" t="n">
        <f aca="false">B23*C23</f>
        <v>211</v>
      </c>
    </row>
    <row r="24" customFormat="false" ht="14.25" hidden="false" customHeight="true" outlineLevel="0" collapsed="false">
      <c r="A24" s="1" t="s">
        <v>43</v>
      </c>
      <c r="B24" s="1" t="n">
        <v>5</v>
      </c>
      <c r="C24" s="3" t="n">
        <v>6.5</v>
      </c>
      <c r="D24" s="1" t="s">
        <v>44</v>
      </c>
      <c r="H24" s="4" t="n">
        <f aca="false">B24*C24</f>
        <v>32.5</v>
      </c>
    </row>
    <row r="25" customFormat="false" ht="14.25" hidden="false" customHeight="true" outlineLevel="0" collapsed="false">
      <c r="A25" s="1" t="s">
        <v>45</v>
      </c>
      <c r="B25" s="1" t="n">
        <v>4</v>
      </c>
      <c r="C25" s="3" t="n">
        <v>41</v>
      </c>
      <c r="D25" s="1" t="s">
        <v>46</v>
      </c>
      <c r="H25" s="4" t="n">
        <f aca="false">B25*C25</f>
        <v>164</v>
      </c>
    </row>
    <row r="26" customFormat="false" ht="14.25" hidden="false" customHeight="true" outlineLevel="0" collapsed="false">
      <c r="A26" s="1" t="s">
        <v>47</v>
      </c>
      <c r="B26" s="1" t="n">
        <v>1</v>
      </c>
      <c r="C26" s="3" t="n">
        <v>16</v>
      </c>
      <c r="D26" s="1" t="s">
        <v>48</v>
      </c>
      <c r="H26" s="4" t="n">
        <f aca="false">B26*C26</f>
        <v>16</v>
      </c>
    </row>
    <row r="27" customFormat="false" ht="14.25" hidden="false" customHeight="true" outlineLevel="0" collapsed="false">
      <c r="A27" s="1" t="s">
        <v>49</v>
      </c>
      <c r="B27" s="1" t="n">
        <v>1</v>
      </c>
      <c r="C27" s="3" t="n">
        <v>299</v>
      </c>
      <c r="D27" s="1" t="s">
        <v>50</v>
      </c>
      <c r="H27" s="4" t="n">
        <f aca="false">B27*C27</f>
        <v>299</v>
      </c>
    </row>
    <row r="28" customFormat="false" ht="14.25" hidden="false" customHeight="true" outlineLevel="0" collapsed="false">
      <c r="A28" s="1" t="s">
        <v>51</v>
      </c>
      <c r="B28" s="1" t="n">
        <v>1</v>
      </c>
      <c r="D28" s="1" t="s">
        <v>52</v>
      </c>
    </row>
    <row r="29" customFormat="false" ht="14.25" hidden="false" customHeight="true" outlineLevel="0" collapsed="false">
      <c r="A29" s="1" t="s">
        <v>53</v>
      </c>
      <c r="B29" s="1" t="n">
        <v>2</v>
      </c>
      <c r="D29" s="1" t="s">
        <v>52</v>
      </c>
    </row>
    <row r="30" customFormat="false" ht="14.25" hidden="false" customHeight="true" outlineLevel="0" collapsed="false">
      <c r="A30" s="1" t="s">
        <v>54</v>
      </c>
      <c r="B30" s="1" t="n">
        <v>1</v>
      </c>
      <c r="D30" s="1" t="s">
        <v>52</v>
      </c>
    </row>
    <row r="31" customFormat="false" ht="14.25" hidden="false" customHeight="true" outlineLevel="0" collapsed="false">
      <c r="A31" s="1" t="s">
        <v>55</v>
      </c>
      <c r="B31" s="1" t="n">
        <v>1</v>
      </c>
      <c r="C31" s="3" t="n">
        <v>15</v>
      </c>
      <c r="D31" s="1" t="s">
        <v>56</v>
      </c>
      <c r="H31" s="4" t="n">
        <f aca="false">B31*C31</f>
        <v>15</v>
      </c>
    </row>
    <row r="32" customFormat="false" ht="14.25" hidden="false" customHeight="true" outlineLevel="0" collapsed="false">
      <c r="A32" s="1" t="s">
        <v>57</v>
      </c>
      <c r="B32" s="1" t="n">
        <v>2</v>
      </c>
      <c r="C32" s="3" t="n">
        <v>18</v>
      </c>
      <c r="D32" s="1" t="s">
        <v>58</v>
      </c>
      <c r="H32" s="4" t="n">
        <f aca="false">B32*C32</f>
        <v>36</v>
      </c>
    </row>
    <row r="33" customFormat="false" ht="14.25" hidden="false" customHeight="true" outlineLevel="0" collapsed="false">
      <c r="A33" s="1" t="s">
        <v>59</v>
      </c>
      <c r="B33" s="1" t="n">
        <v>1</v>
      </c>
      <c r="C33" s="3" t="n">
        <v>158</v>
      </c>
      <c r="D33" s="1" t="s">
        <v>60</v>
      </c>
      <c r="H33" s="4" t="n">
        <f aca="false">B33*C33</f>
        <v>158</v>
      </c>
    </row>
    <row r="34" customFormat="false" ht="14.25" hidden="false" customHeight="true" outlineLevel="0" collapsed="false">
      <c r="A34" s="1" t="s">
        <v>61</v>
      </c>
      <c r="B34" s="1" t="n">
        <v>2</v>
      </c>
      <c r="C34" s="3" t="n">
        <v>14</v>
      </c>
      <c r="D34" s="1" t="s">
        <v>62</v>
      </c>
      <c r="H34" s="4" t="n">
        <f aca="false">B34*C34</f>
        <v>28</v>
      </c>
    </row>
    <row r="35" customFormat="false" ht="14.25" hidden="false" customHeight="true" outlineLevel="0" collapsed="false">
      <c r="A35" s="1" t="s">
        <v>63</v>
      </c>
      <c r="B35" s="1" t="n">
        <v>1</v>
      </c>
      <c r="C35" s="3" t="n">
        <v>23</v>
      </c>
      <c r="D35" s="1" t="s">
        <v>64</v>
      </c>
      <c r="H35" s="4" t="n">
        <f aca="false">B35*C35</f>
        <v>23</v>
      </c>
    </row>
    <row r="36" customFormat="false" ht="14.25" hidden="false" customHeight="true" outlineLevel="0" collapsed="false">
      <c r="A36" s="1" t="s">
        <v>65</v>
      </c>
      <c r="B36" s="1" t="n">
        <v>2</v>
      </c>
      <c r="C36" s="3" t="n">
        <v>30</v>
      </c>
      <c r="D36" s="1" t="s">
        <v>66</v>
      </c>
      <c r="H36" s="4" t="n">
        <f aca="false">B36*C36</f>
        <v>60</v>
      </c>
    </row>
    <row r="37" customFormat="false" ht="14.25" hidden="false" customHeight="true" outlineLevel="0" collapsed="false">
      <c r="A37" s="1" t="s">
        <v>67</v>
      </c>
      <c r="B37" s="1" t="n">
        <v>2</v>
      </c>
      <c r="C37" s="3" t="n">
        <v>30</v>
      </c>
      <c r="D37" s="1" t="s">
        <v>68</v>
      </c>
      <c r="H37" s="4" t="n">
        <f aca="false">B37*C37</f>
        <v>60</v>
      </c>
    </row>
    <row r="38" customFormat="false" ht="69" hidden="false" customHeight="true" outlineLevel="0" collapsed="false">
      <c r="A38" s="1" t="s">
        <v>69</v>
      </c>
      <c r="B38" s="1" t="n">
        <v>1</v>
      </c>
      <c r="C38" s="3" t="n">
        <v>70</v>
      </c>
      <c r="D38" s="1" t="s">
        <v>70</v>
      </c>
      <c r="H38" s="4" t="n">
        <f aca="false">B38*C38</f>
        <v>70</v>
      </c>
    </row>
    <row r="39" customFormat="false" ht="69" hidden="false" customHeight="true" outlineLevel="0" collapsed="false"/>
    <row r="40" customFormat="false" ht="27" hidden="false" customHeight="true" outlineLevel="0" collapsed="false">
      <c r="A40" s="1" t="s">
        <v>71</v>
      </c>
    </row>
    <row r="41" customFormat="false" ht="27" hidden="false" customHeight="true" outlineLevel="0" collapsed="false">
      <c r="A41" s="5" t="s">
        <v>72</v>
      </c>
      <c r="B41" s="1" t="n">
        <v>1</v>
      </c>
      <c r="C41" s="3" t="n">
        <v>163</v>
      </c>
      <c r="D41" s="1" t="s">
        <v>73</v>
      </c>
      <c r="H41" s="4" t="n">
        <f aca="false">B41*C41</f>
        <v>163</v>
      </c>
    </row>
    <row r="42" customFormat="false" ht="69" hidden="false" customHeight="true" outlineLevel="0" collapsed="false">
      <c r="A42" s="5" t="s">
        <v>74</v>
      </c>
      <c r="B42" s="1" t="n">
        <v>1</v>
      </c>
      <c r="C42" s="3" t="n">
        <v>163</v>
      </c>
      <c r="D42" s="1" t="s">
        <v>75</v>
      </c>
      <c r="H42" s="4" t="n">
        <f aca="false">B42*C42</f>
        <v>163</v>
      </c>
    </row>
    <row r="43" customFormat="false" ht="27" hidden="false" customHeight="true" outlineLevel="0" collapsed="false">
      <c r="A43" s="5" t="s">
        <v>76</v>
      </c>
      <c r="B43" s="1" t="n">
        <v>4</v>
      </c>
      <c r="C43" s="3"/>
      <c r="D43" s="1" t="s">
        <v>77</v>
      </c>
    </row>
    <row r="45" customFormat="false" ht="14.25" hidden="false" customHeight="true" outlineLevel="0" collapsed="false">
      <c r="A45" s="1" t="s">
        <v>78</v>
      </c>
    </row>
    <row r="46" customFormat="false" ht="14.25" hidden="false" customHeight="true" outlineLevel="0" collapsed="false">
      <c r="A46" s="1" t="s">
        <v>79</v>
      </c>
      <c r="B46" s="1" t="n">
        <v>2</v>
      </c>
      <c r="C46" s="3" t="n">
        <v>98</v>
      </c>
      <c r="D46" s="1" t="s">
        <v>80</v>
      </c>
      <c r="H46" s="4" t="n">
        <f aca="false">B46*C46</f>
        <v>196</v>
      </c>
    </row>
    <row r="47" customFormat="false" ht="14.25" hidden="false" customHeight="true" outlineLevel="0" collapsed="false">
      <c r="A47" s="1" t="s">
        <v>81</v>
      </c>
      <c r="B47" s="1" t="n">
        <v>2</v>
      </c>
      <c r="C47" s="3" t="n">
        <v>75</v>
      </c>
      <c r="D47" s="1" t="s">
        <v>82</v>
      </c>
      <c r="H47" s="4" t="n">
        <f aca="false">B47*C47</f>
        <v>150</v>
      </c>
    </row>
    <row r="49" customFormat="false" ht="14.25" hidden="false" customHeight="true" outlineLevel="0" collapsed="false">
      <c r="A49" s="1" t="s">
        <v>83</v>
      </c>
    </row>
    <row r="50" customFormat="false" ht="14.25" hidden="false" customHeight="true" outlineLevel="0" collapsed="false">
      <c r="A50" s="5" t="s">
        <v>84</v>
      </c>
      <c r="B50" s="1" t="s">
        <v>85</v>
      </c>
      <c r="C50" s="6" t="n">
        <v>500</v>
      </c>
    </row>
    <row r="51" customFormat="false" ht="14.25" hidden="false" customHeight="true" outlineLevel="0" collapsed="false">
      <c r="A51" s="5" t="s">
        <v>86</v>
      </c>
      <c r="B51" s="1" t="s">
        <v>87</v>
      </c>
      <c r="C51" s="6" t="n">
        <v>350</v>
      </c>
    </row>
    <row r="53" customFormat="false" ht="14.25" hidden="false" customHeight="true" outlineLevel="0" collapsed="false">
      <c r="A53" s="1" t="s">
        <v>88</v>
      </c>
    </row>
    <row r="54" customFormat="false" ht="14.25" hidden="false" customHeight="true" outlineLevel="0" collapsed="false">
      <c r="A54" s="1" t="s">
        <v>89</v>
      </c>
      <c r="B54" s="1" t="n">
        <v>1</v>
      </c>
      <c r="E54" s="1" t="s">
        <v>84</v>
      </c>
      <c r="G54" s="1" t="n">
        <v>4</v>
      </c>
      <c r="H54" s="4" t="n">
        <f aca="false">B54*G54/1000*$C$50</f>
        <v>2</v>
      </c>
    </row>
    <row r="55" customFormat="false" ht="14.25" hidden="false" customHeight="true" outlineLevel="0" collapsed="false">
      <c r="A55" s="1" t="s">
        <v>90</v>
      </c>
      <c r="B55" s="1" t="n">
        <v>1</v>
      </c>
      <c r="E55" s="1" t="s">
        <v>84</v>
      </c>
      <c r="G55" s="1" t="n">
        <v>3</v>
      </c>
      <c r="H55" s="4" t="n">
        <f aca="false">B55*G55/1000*$C$50</f>
        <v>1.5</v>
      </c>
    </row>
    <row r="56" customFormat="false" ht="14.25" hidden="false" customHeight="true" outlineLevel="0" collapsed="false">
      <c r="A56" s="1" t="s">
        <v>91</v>
      </c>
      <c r="B56" s="1" t="n">
        <v>6</v>
      </c>
      <c r="E56" s="1" t="s">
        <v>84</v>
      </c>
      <c r="G56" s="1" t="n">
        <v>1</v>
      </c>
      <c r="H56" s="4" t="n">
        <f aca="false">B56*G56/1000*$C$50</f>
        <v>3</v>
      </c>
    </row>
    <row r="57" customFormat="false" ht="14.25" hidden="false" customHeight="true" outlineLevel="0" collapsed="false">
      <c r="A57" s="1" t="s">
        <v>92</v>
      </c>
      <c r="B57" s="1" t="n">
        <v>4</v>
      </c>
      <c r="E57" s="1" t="s">
        <v>84</v>
      </c>
      <c r="G57" s="1" t="n">
        <v>1</v>
      </c>
      <c r="H57" s="4" t="n">
        <f aca="false">B57*G57/1000*$C$50</f>
        <v>2</v>
      </c>
    </row>
    <row r="58" customFormat="false" ht="14.25" hidden="false" customHeight="true" outlineLevel="0" collapsed="false">
      <c r="A58" s="1" t="s">
        <v>93</v>
      </c>
      <c r="B58" s="1" t="n">
        <v>2</v>
      </c>
      <c r="E58" s="1" t="s">
        <v>84</v>
      </c>
      <c r="G58" s="1" t="n">
        <v>2</v>
      </c>
      <c r="H58" s="4" t="n">
        <f aca="false">B58*G58/1000*$C$50</f>
        <v>2</v>
      </c>
    </row>
    <row r="59" customFormat="false" ht="14.25" hidden="false" customHeight="true" outlineLevel="0" collapsed="false">
      <c r="A59" s="1" t="s">
        <v>94</v>
      </c>
      <c r="B59" s="1" t="n">
        <v>1</v>
      </c>
      <c r="E59" s="1" t="s">
        <v>84</v>
      </c>
      <c r="G59" s="1" t="n">
        <v>2</v>
      </c>
      <c r="H59" s="4" t="n">
        <f aca="false">B59*G59/1000*$C$50</f>
        <v>1</v>
      </c>
    </row>
    <row r="60" customFormat="false" ht="14.25" hidden="false" customHeight="true" outlineLevel="0" collapsed="false">
      <c r="A60" s="1" t="s">
        <v>95</v>
      </c>
      <c r="B60" s="1" t="n">
        <v>2</v>
      </c>
      <c r="E60" s="1" t="s">
        <v>84</v>
      </c>
      <c r="G60" s="1" t="n">
        <v>1</v>
      </c>
      <c r="H60" s="4" t="n">
        <f aca="false">B60*G60/1000*$C$50</f>
        <v>1</v>
      </c>
    </row>
    <row r="61" customFormat="false" ht="14.25" hidden="false" customHeight="true" outlineLevel="0" collapsed="false">
      <c r="A61" s="1" t="s">
        <v>96</v>
      </c>
      <c r="B61" s="1" t="n">
        <v>1</v>
      </c>
      <c r="E61" s="1" t="s">
        <v>84</v>
      </c>
      <c r="G61" s="1" t="n">
        <v>4</v>
      </c>
      <c r="H61" s="4" t="n">
        <f aca="false">B61*G61/1000*$C$50</f>
        <v>2</v>
      </c>
    </row>
    <row r="62" customFormat="false" ht="14.25" hidden="false" customHeight="true" outlineLevel="0" collapsed="false">
      <c r="A62" s="1" t="s">
        <v>97</v>
      </c>
      <c r="B62" s="1" t="n">
        <v>2</v>
      </c>
      <c r="E62" s="1" t="s">
        <v>84</v>
      </c>
      <c r="G62" s="1" t="n">
        <v>1</v>
      </c>
      <c r="H62" s="4" t="n">
        <f aca="false">B62*G62/1000*$C$50</f>
        <v>1</v>
      </c>
    </row>
    <row r="63" customFormat="false" ht="14.25" hidden="false" customHeight="true" outlineLevel="0" collapsed="false">
      <c r="A63" s="1" t="s">
        <v>98</v>
      </c>
      <c r="B63" s="1" t="n">
        <v>1</v>
      </c>
      <c r="E63" s="1" t="s">
        <v>84</v>
      </c>
      <c r="G63" s="1" t="n">
        <v>3</v>
      </c>
      <c r="H63" s="4" t="n">
        <f aca="false">B63*G63/1000*$C$50</f>
        <v>1.5</v>
      </c>
    </row>
    <row r="64" customFormat="false" ht="14.25" hidden="false" customHeight="true" outlineLevel="0" collapsed="false">
      <c r="A64" s="1" t="s">
        <v>99</v>
      </c>
      <c r="B64" s="1" t="n">
        <v>1</v>
      </c>
      <c r="E64" s="1" t="s">
        <v>84</v>
      </c>
      <c r="G64" s="1" t="n">
        <v>60</v>
      </c>
      <c r="H64" s="4" t="n">
        <f aca="false">B64*G64/1000*$C$50</f>
        <v>30</v>
      </c>
    </row>
    <row r="65" customFormat="false" ht="14.25" hidden="false" customHeight="true" outlineLevel="0" collapsed="false">
      <c r="A65" s="1" t="s">
        <v>100</v>
      </c>
      <c r="B65" s="1" t="n">
        <v>1</v>
      </c>
      <c r="E65" s="1" t="s">
        <v>84</v>
      </c>
      <c r="G65" s="1" t="n">
        <v>1</v>
      </c>
      <c r="H65" s="4" t="n">
        <f aca="false">B65*G65/1000*$C$50</f>
        <v>0.5</v>
      </c>
    </row>
    <row r="66" customFormat="false" ht="14.25" hidden="false" customHeight="true" outlineLevel="0" collapsed="false">
      <c r="A66" s="7" t="s">
        <v>101</v>
      </c>
      <c r="G66" s="7" t="n">
        <v>148</v>
      </c>
    </row>
    <row r="68" customFormat="false" ht="14.25" hidden="false" customHeight="true" outlineLevel="0" collapsed="false">
      <c r="A68" s="1" t="s">
        <v>102</v>
      </c>
    </row>
    <row r="69" customFormat="false" ht="14.25" hidden="false" customHeight="true" outlineLevel="0" collapsed="false">
      <c r="A69" s="1" t="s">
        <v>103</v>
      </c>
      <c r="B69" s="1" t="n">
        <v>1</v>
      </c>
      <c r="E69" s="1" t="s">
        <v>84</v>
      </c>
      <c r="G69" s="1" t="n">
        <v>127</v>
      </c>
      <c r="H69" s="4" t="n">
        <f aca="false">B69*G69/1000*$C$50</f>
        <v>63.5</v>
      </c>
    </row>
    <row r="70" customFormat="false" ht="14.25" hidden="false" customHeight="true" outlineLevel="0" collapsed="false">
      <c r="A70" s="1" t="s">
        <v>98</v>
      </c>
      <c r="B70" s="1" t="n">
        <v>1</v>
      </c>
      <c r="E70" s="1" t="s">
        <v>84</v>
      </c>
      <c r="G70" s="1" t="n">
        <v>3</v>
      </c>
      <c r="H70" s="4" t="n">
        <f aca="false">B70*G70/1000*$C$50</f>
        <v>1.5</v>
      </c>
    </row>
    <row r="72" customFormat="false" ht="14.25" hidden="false" customHeight="true" outlineLevel="0" collapsed="false">
      <c r="A72" s="1" t="s">
        <v>104</v>
      </c>
    </row>
    <row r="73" customFormat="false" ht="14.25" hidden="false" customHeight="true" outlineLevel="0" collapsed="false">
      <c r="A73" s="1" t="s">
        <v>105</v>
      </c>
      <c r="B73" s="1" t="n">
        <v>1</v>
      </c>
      <c r="E73" s="1" t="s">
        <v>84</v>
      </c>
      <c r="G73" s="1" t="n">
        <v>145</v>
      </c>
      <c r="H73" s="4" t="n">
        <f aca="false">B73*G73/1000*$C$50</f>
        <v>72.5</v>
      </c>
    </row>
    <row r="74" customFormat="false" ht="14.25" hidden="false" customHeight="true" outlineLevel="0" collapsed="false">
      <c r="A74" s="1" t="s">
        <v>98</v>
      </c>
      <c r="B74" s="1" t="n">
        <v>1</v>
      </c>
      <c r="E74" s="1" t="s">
        <v>84</v>
      </c>
      <c r="G74" s="1" t="n">
        <v>3</v>
      </c>
      <c r="H74" s="4" t="n">
        <f aca="false">B74*G74/1000*$C$50</f>
        <v>1.5</v>
      </c>
    </row>
    <row r="76" customFormat="false" ht="14.25" hidden="false" customHeight="true" outlineLevel="0" collapsed="false">
      <c r="A76" s="1" t="s">
        <v>106</v>
      </c>
    </row>
    <row r="77" customFormat="false" ht="14.25" hidden="false" customHeight="true" outlineLevel="0" collapsed="false">
      <c r="A77" s="1" t="s">
        <v>107</v>
      </c>
      <c r="B77" s="1" t="n">
        <v>1</v>
      </c>
      <c r="E77" s="1" t="s">
        <v>84</v>
      </c>
      <c r="G77" s="1" t="n">
        <v>255</v>
      </c>
      <c r="H77" s="4" t="n">
        <f aca="false">B77*G77/1000*$C$50</f>
        <v>127.5</v>
      </c>
    </row>
    <row r="78" customFormat="false" ht="14.25" hidden="false" customHeight="true" outlineLevel="0" collapsed="false">
      <c r="A78" s="1" t="s">
        <v>98</v>
      </c>
      <c r="B78" s="1" t="n">
        <v>1</v>
      </c>
      <c r="E78" s="1" t="s">
        <v>84</v>
      </c>
      <c r="G78" s="1" t="n">
        <v>3</v>
      </c>
      <c r="H78" s="4" t="n">
        <f aca="false">B78*G78/1000*$C$50</f>
        <v>1.5</v>
      </c>
    </row>
    <row r="79" customFormat="false" ht="14.25" hidden="false" customHeight="true" outlineLevel="0" collapsed="false">
      <c r="A79" s="1" t="s">
        <v>108</v>
      </c>
      <c r="B79" s="1" t="n">
        <v>1</v>
      </c>
      <c r="E79" s="1" t="s">
        <v>84</v>
      </c>
      <c r="G79" s="1" t="n">
        <v>157</v>
      </c>
      <c r="H79" s="4" t="n">
        <f aca="false">B79*G79/1000*$C$50</f>
        <v>78.5</v>
      </c>
    </row>
    <row r="81" customFormat="false" ht="14.25" hidden="false" customHeight="true" outlineLevel="0" collapsed="false">
      <c r="A81" s="1" t="s">
        <v>109</v>
      </c>
    </row>
    <row r="82" customFormat="false" ht="14.25" hidden="false" customHeight="true" outlineLevel="0" collapsed="false">
      <c r="A82" s="1" t="s">
        <v>110</v>
      </c>
      <c r="B82" s="1" t="n">
        <v>1</v>
      </c>
      <c r="E82" s="1" t="s">
        <v>86</v>
      </c>
      <c r="F82" s="1" t="s">
        <v>111</v>
      </c>
      <c r="G82" s="1" t="n">
        <v>390</v>
      </c>
      <c r="H82" s="4" t="n">
        <f aca="false">B82*G82/1000*$C$51</f>
        <v>136.5</v>
      </c>
    </row>
    <row r="83" customFormat="false" ht="14.25" hidden="false" customHeight="true" outlineLevel="0" collapsed="false">
      <c r="A83" s="1" t="s">
        <v>112</v>
      </c>
      <c r="B83" s="1" t="n">
        <v>1</v>
      </c>
      <c r="E83" s="1" t="s">
        <v>86</v>
      </c>
      <c r="F83" s="1" t="s">
        <v>111</v>
      </c>
      <c r="G83" s="1" t="n">
        <v>68</v>
      </c>
      <c r="H83" s="4" t="n">
        <f aca="false">B83*G83/1000*$C$51</f>
        <v>23.8</v>
      </c>
    </row>
    <row r="84" customFormat="false" ht="14.25" hidden="false" customHeight="true" outlineLevel="0" collapsed="false">
      <c r="A84" s="1" t="s">
        <v>113</v>
      </c>
      <c r="B84" s="1" t="n">
        <v>1</v>
      </c>
      <c r="E84" s="1" t="s">
        <v>86</v>
      </c>
      <c r="F84" s="1" t="s">
        <v>111</v>
      </c>
      <c r="G84" s="1" t="n">
        <v>57</v>
      </c>
      <c r="H84" s="4" t="n">
        <f aca="false">B84*G84/1000*$C$51</f>
        <v>19.95</v>
      </c>
    </row>
    <row r="87" customFormat="false" ht="14.25" hidden="false" customHeight="true" outlineLevel="0" collapsed="false">
      <c r="A87" s="8" t="s">
        <v>114</v>
      </c>
    </row>
    <row r="88" customFormat="false" ht="14.25" hidden="false" customHeight="true" outlineLevel="0" collapsed="false">
      <c r="A88" s="2" t="s">
        <v>115</v>
      </c>
      <c r="H88" s="4" t="n">
        <f aca="false">SUM(H5:H8)</f>
        <v>1298</v>
      </c>
    </row>
    <row r="89" customFormat="false" ht="14.25" hidden="false" customHeight="true" outlineLevel="0" collapsed="false">
      <c r="A89" s="2" t="s">
        <v>21</v>
      </c>
      <c r="H89" s="4" t="n">
        <f aca="false">SUM(H14:H38)</f>
        <v>1902.5</v>
      </c>
    </row>
    <row r="90" customFormat="false" ht="14.25" hidden="false" customHeight="true" outlineLevel="0" collapsed="false">
      <c r="A90" s="2" t="s">
        <v>71</v>
      </c>
      <c r="H90" s="4" t="n">
        <f aca="false">SUM(H41:H43)</f>
        <v>326</v>
      </c>
    </row>
    <row r="91" customFormat="false" ht="14.25" hidden="false" customHeight="true" outlineLevel="0" collapsed="false">
      <c r="A91" s="2" t="s">
        <v>78</v>
      </c>
      <c r="H91" s="4" t="n">
        <f aca="false">SUM(H46:H47)</f>
        <v>346</v>
      </c>
    </row>
    <row r="92" customFormat="false" ht="14.25" hidden="false" customHeight="true" outlineLevel="0" collapsed="false">
      <c r="A92" s="2" t="s">
        <v>116</v>
      </c>
      <c r="H92" s="4" t="n">
        <f aca="false">SUMIF(E54:E84,"PLA-CF",H54:H84)</f>
        <v>394</v>
      </c>
    </row>
    <row r="93" customFormat="false" ht="14.25" hidden="false" customHeight="true" outlineLevel="0" collapsed="false">
      <c r="A93" s="2" t="s">
        <v>117</v>
      </c>
      <c r="H93" s="4" t="n">
        <f aca="false">SUMIF(E54:E84,"PETG",H54:H84)</f>
        <v>180.25</v>
      </c>
    </row>
    <row r="94" customFormat="false" ht="14.25" hidden="false" customHeight="true" outlineLevel="0" collapsed="false">
      <c r="A94" s="2" t="s">
        <v>118</v>
      </c>
      <c r="H94" s="4" t="n">
        <f aca="false">H92+H93</f>
        <v>574.25</v>
      </c>
    </row>
    <row r="95" customFormat="false" ht="14.25" hidden="false" customHeight="true" outlineLevel="0" collapsed="false">
      <c r="A95" s="8" t="s">
        <v>119</v>
      </c>
      <c r="H95" s="9" t="n">
        <f aca="false">H88+H89+H90+H91+H94</f>
        <v>4446.75</v>
      </c>
    </row>
    <row r="97" customFormat="false" ht="14.25" hidden="false" customHeight="true" outlineLevel="0" collapsed="false">
      <c r="A97" s="2" t="s">
        <v>120</v>
      </c>
      <c r="H97" s="10" t="n">
        <f aca="false">SUMPRODUCT((E54:E84="PLA-CF")*B54:B84*G54:G84)</f>
        <v>788</v>
      </c>
    </row>
    <row r="98" customFormat="false" ht="14.25" hidden="false" customHeight="true" outlineLevel="0" collapsed="false">
      <c r="A98" s="2" t="s">
        <v>121</v>
      </c>
      <c r="H98" s="10" t="n">
        <f aca="false">SUMPRODUCT((E54:E84="PETG")*B54:B84*G54:G84)</f>
        <v>515</v>
      </c>
    </row>
    <row r="99" customFormat="false" ht="14.25" hidden="false" customHeight="true" outlineLevel="0" collapsed="false">
      <c r="A99" s="11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2026-09-30T09:18:28Z</dcterms:created>
  <dc:creator>Spalding, N, Mr [27212106@sun.ac.za]</dc:creator>
  <dc:description/>
  <dc:language>en-US</dc:language>
  <cp:lastModifiedBy>Spalding, N, Mr [27212106@sun.ac.za]</cp:lastModifiedBy>
  <dcterms:modified xsi:type="dcterms:W3CDTF">2026-10-02T20:01:36Z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