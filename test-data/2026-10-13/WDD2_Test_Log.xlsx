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8.1 Setup" sheetId="2" state="visible" r:id="rId2"/>
    <sheet xmlns:r="http://schemas.openxmlformats.org/officeDocument/2006/relationships" name="8.2 Encoder cal" sheetId="3" state="visible" r:id="rId3"/>
    <sheet xmlns:r="http://schemas.openxmlformats.org/officeDocument/2006/relationships" name="8.3 Encoder vs servo" sheetId="4" state="visible" r:id="rId4"/>
    <sheet xmlns:r="http://schemas.openxmlformats.org/officeDocument/2006/relationships" name="8.4 Control loop" sheetId="5" state="visible" r:id="rId5"/>
    <sheet xmlns:r="http://schemas.openxmlformats.org/officeDocument/2006/relationships" name="8.5 Grasp" sheetId="6" state="visible" r:id="rId6"/>
    <sheet xmlns:r="http://schemas.openxmlformats.org/officeDocument/2006/relationships" name="8.6 Accuracy" sheetId="7" state="visible" r:id="rId7"/>
    <sheet xmlns:r="http://schemas.openxmlformats.org/officeDocument/2006/relationships" name="8.7 Cycles" sheetId="8" state="visible" r:id="rId8"/>
    <sheet xmlns:r="http://schemas.openxmlformats.org/officeDocument/2006/relationships" name="8.8 Power &amp; safety"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0.000"/>
    <numFmt numFmtId="166" formatCode="0.00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555555"/>
      <sz val="9"/>
    </font>
    <font>
      <name val="Arial"/>
      <charset val="1"/>
      <family val="0"/>
      <b val="1"/>
      <sz val="10"/>
    </font>
    <font>
      <name val="Arial"/>
      <charset val="1"/>
      <family val="0"/>
      <sz val="10"/>
    </font>
    <font>
      <name val="Arial"/>
      <charset val="1"/>
      <family val="0"/>
      <b val="1"/>
      <sz val="11"/>
    </font>
    <font>
      <name val="Arial"/>
      <charset val="1"/>
      <family val="0"/>
      <i val="1"/>
      <color rgb="FF808080"/>
      <sz val="10"/>
    </font>
  </fonts>
  <fills count="5">
    <fill>
      <patternFill/>
    </fill>
    <fill>
      <patternFill patternType="gray125"/>
    </fill>
    <fill>
      <patternFill patternType="solid">
        <fgColor rgb="FFD9E2F3"/>
        <bgColor rgb="FFE2EFDA"/>
      </patternFill>
    </fill>
    <fill>
      <patternFill patternType="solid">
        <fgColor rgb="FFFFF2A8"/>
        <bgColor rgb="FFFFFFCC"/>
      </patternFill>
    </fill>
    <fill>
      <patternFill patternType="solid">
        <fgColor rgb="FFE2EFDA"/>
        <bgColor rgb="FFD9E2F3"/>
      </patternFill>
    </fill>
  </fills>
  <borders count="5">
    <border>
      <left/>
      <right/>
      <top/>
      <bottom/>
      <diagonal/>
    </border>
    <border>
      <left style="thin">
        <color rgb="FFBBBBBB"/>
      </left>
      <right style="thin">
        <color rgb="FFBBBBBB"/>
      </right>
      <top style="thin">
        <color rgb="FFBBBBBB"/>
      </top>
      <bottom style="thin">
        <color rgb="FFBBBBBB"/>
      </bottom>
      <diagonal/>
    </border>
    <border>
      <left/>
      <right/>
      <top style="thin">
        <color rgb="FFBBBBBB"/>
      </top>
      <bottom/>
      <diagonal/>
    </border>
    <border>
      <left/>
      <right style="thin">
        <color rgb="FFBBBBBB"/>
      </right>
      <top style="thin">
        <color rgb="FFBBBBBB"/>
      </top>
      <bottom/>
      <diagonal/>
    </border>
    <border>
      <left/>
      <right style="thin">
        <color rgb="FFBBBBBB"/>
      </right>
      <top style="thin">
        <color rgb="FFBBBBBB"/>
      </top>
      <bottom style="thin">
        <color rgb="FFBBBBB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center" wrapText="1"/>
    </xf>
    <xf numFmtId="0" fontId="7" fillId="0" borderId="1" applyAlignment="1" pivotButton="0" quotePrefix="0" xfId="0">
      <alignment horizontal="general" vertical="top" wrapText="1"/>
    </xf>
    <xf numFmtId="0" fontId="6" fillId="0" borderId="1"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wrapText="1"/>
    </xf>
    <xf numFmtId="0" fontId="7" fillId="0" borderId="1" applyAlignment="1" pivotButton="0" quotePrefix="0" xfId="0">
      <alignment horizontal="general" vertical="bottom"/>
    </xf>
    <xf numFmtId="0" fontId="7" fillId="3" borderId="1"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0" borderId="1" applyAlignment="1" pivotButton="0" quotePrefix="0" xfId="0">
      <alignment horizontal="general" vertical="bottom"/>
    </xf>
    <xf numFmtId="2" fontId="9" fillId="0" borderId="1" applyAlignment="1" pivotButton="0" quotePrefix="0" xfId="0">
      <alignment horizontal="general" vertical="bottom"/>
    </xf>
    <xf numFmtId="164" fontId="7" fillId="3" borderId="1" applyAlignment="1" pivotButton="0" quotePrefix="0" xfId="0">
      <alignment horizontal="general" vertical="bottom"/>
    </xf>
    <xf numFmtId="164" fontId="7" fillId="0" borderId="1" applyAlignment="1" pivotButton="0" quotePrefix="0" xfId="0">
      <alignment horizontal="general" vertical="bottom"/>
    </xf>
    <xf numFmtId="2" fontId="7" fillId="0" borderId="1" applyAlignment="1" pivotButton="0" quotePrefix="0" xfId="0">
      <alignment horizontal="general" vertical="bottom"/>
    </xf>
    <xf numFmtId="2" fontId="7" fillId="3" borderId="1" applyAlignment="1" pivotButton="0" quotePrefix="0" xfId="0">
      <alignment horizontal="general" vertical="bottom"/>
    </xf>
    <xf numFmtId="165" fontId="7" fillId="0" borderId="1" applyAlignment="1" pivotButton="0" quotePrefix="0" xfId="0">
      <alignment horizontal="general" vertical="bottom"/>
    </xf>
    <xf numFmtId="0" fontId="6" fillId="0" borderId="1" applyAlignment="1" pivotButton="0" quotePrefix="0" xfId="0">
      <alignment horizontal="general" vertical="bottom"/>
    </xf>
    <xf numFmtId="165" fontId="9" fillId="0" borderId="1" applyAlignment="1" pivotButton="0" quotePrefix="0" xfId="0">
      <alignment horizontal="general" vertical="bottom"/>
    </xf>
    <xf numFmtId="165" fontId="7" fillId="3" borderId="1" applyAlignment="1" pivotButton="0" quotePrefix="0" xfId="0">
      <alignment horizontal="general" vertical="bottom"/>
    </xf>
    <xf numFmtId="166" fontId="7" fillId="4" borderId="1" applyAlignment="1" pivotButton="0" quotePrefix="0" xfId="0">
      <alignment horizontal="general" vertical="bottom"/>
    </xf>
    <xf numFmtId="2" fontId="7" fillId="0" borderId="1" applyAlignment="1" pivotButton="0" quotePrefix="0" xfId="0">
      <alignment horizontal="general" vertical="top" wrapText="1"/>
    </xf>
    <xf numFmtId="2" fontId="7" fillId="4" borderId="1" applyAlignment="1" pivotButton="0" quotePrefix="0" xfId="0">
      <alignment horizontal="general" vertical="bottom"/>
    </xf>
    <xf numFmtId="164" fontId="7" fillId="4" borderId="1" applyAlignment="1" pivotButton="0" quotePrefix="0" xfId="0">
      <alignment horizontal="general" vertical="bottom"/>
    </xf>
    <xf numFmtId="0" fontId="0" fillId="0" borderId="0" applyAlignment="1" pivotButton="0" quotePrefix="0" xfId="0">
      <alignment horizontal="general" vertical="top" wrapText="1"/>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center" wrapText="1"/>
    </xf>
    <xf numFmtId="0" fontId="7" fillId="0" borderId="1" applyAlignment="1" pivotButton="0" quotePrefix="0" xfId="0">
      <alignment horizontal="general" vertical="top" wrapText="1"/>
    </xf>
    <xf numFmtId="0" fontId="6" fillId="0" borderId="1"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wrapText="1"/>
    </xf>
    <xf numFmtId="0" fontId="7" fillId="0" borderId="1" applyAlignment="1" pivotButton="0" quotePrefix="0" xfId="0">
      <alignment horizontal="general" vertical="bottom"/>
    </xf>
    <xf numFmtId="0" fontId="7" fillId="3" borderId="1"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0" borderId="1" applyAlignment="1" pivotButton="0" quotePrefix="0" xfId="0">
      <alignment horizontal="general" vertical="bottom"/>
    </xf>
    <xf numFmtId="2" fontId="9" fillId="0" borderId="1" applyAlignment="1" pivotButton="0" quotePrefix="0" xfId="0">
      <alignment horizontal="general" vertical="bottom"/>
    </xf>
    <xf numFmtId="164" fontId="7" fillId="3" borderId="1" applyAlignment="1" pivotButton="0" quotePrefix="0" xfId="0">
      <alignment horizontal="general" vertical="bottom"/>
    </xf>
    <xf numFmtId="164" fontId="7" fillId="0" borderId="1" applyAlignment="1" pivotButton="0" quotePrefix="0" xfId="0">
      <alignment horizontal="general" vertical="bottom"/>
    </xf>
    <xf numFmtId="2" fontId="7" fillId="0" borderId="1" applyAlignment="1" pivotButton="0" quotePrefix="0" xfId="0">
      <alignment horizontal="general" vertical="bottom"/>
    </xf>
    <xf numFmtId="2" fontId="7" fillId="3" borderId="1" applyAlignment="1" pivotButton="0" quotePrefix="0" xfId="0">
      <alignment horizontal="general" vertical="bottom"/>
    </xf>
    <xf numFmtId="165" fontId="7" fillId="0" borderId="1" applyAlignment="1" pivotButton="0" quotePrefix="0" xfId="0">
      <alignment horizontal="general" vertical="bottom"/>
    </xf>
    <xf numFmtId="0" fontId="6" fillId="0" borderId="1" applyAlignment="1" pivotButton="0" quotePrefix="0" xfId="0">
      <alignment horizontal="general" vertical="bottom"/>
    </xf>
    <xf numFmtId="165" fontId="9" fillId="0" borderId="1" applyAlignment="1" pivotButton="0" quotePrefix="0" xfId="0">
      <alignment horizontal="general" vertical="bottom"/>
    </xf>
    <xf numFmtId="165" fontId="7" fillId="3" borderId="1" applyAlignment="1" pivotButton="0" quotePrefix="0" xfId="0">
      <alignment horizontal="general" vertical="bottom"/>
    </xf>
    <xf numFmtId="166" fontId="7" fillId="4" borderId="1" applyAlignment="1" pivotButton="0" quotePrefix="0" xfId="0">
      <alignment horizontal="general" vertical="bottom"/>
    </xf>
    <xf numFmtId="2" fontId="7" fillId="0" borderId="1" applyAlignment="1" pivotButton="0" quotePrefix="0" xfId="0">
      <alignment horizontal="general" vertical="top" wrapText="1"/>
    </xf>
    <xf numFmtId="2" fontId="7" fillId="4" borderId="1" applyAlignment="1" pivotButton="0" quotePrefix="0" xfId="0">
      <alignment horizontal="general" vertical="bottom"/>
    </xf>
    <xf numFmtId="164" fontId="7" fillId="4" borderId="1" applyAlignment="1" pivotButton="0" quotePrefix="0" xfId="0">
      <alignment horizontal="general" vertical="bottom"/>
    </xf>
    <xf numFmtId="0" fontId="0" fillId="0" borderId="0" applyAlignment="1" pivotButton="0" quotePrefix="0" xfId="0">
      <alignment horizontal="general" vertical="top" wrapText="1"/>
    </xf>
    <xf numFmtId="0" fontId="0" fillId="0" borderId="4" pivotButton="0" quotePrefix="0" xfId="0"/>
    <xf numFmtId="0" fontId="5" fillId="0" borderId="1" applyAlignment="1" pivotButton="0" quotePrefix="0" xfId="0">
      <alignment horizontal="general" vertical="bottom"/>
    </xf>
    <xf numFmtId="0" fontId="8" fillId="0" borderId="0" pivotButton="0" quotePrefix="0" xfId="0"/>
    <xf numFmtId="0" fontId="0" fillId="0" borderId="1" applyAlignment="1" pivotButton="0" quotePrefix="0" xfId="0">
      <alignment horizontal="general" vertical="bottom"/>
    </xf>
    <xf numFmtId="164" fontId="0" fillId="0" borderId="1" applyAlignment="1" pivotButton="0" quotePrefix="0" xfId="0">
      <alignment horizontal="general" vertical="bottom"/>
    </xf>
    <xf numFmtId="0" fontId="6" fillId="2" borderId="0" pivotButton="0" quotePrefix="0" xfId="0"/>
    <xf numFmtId="164" fontId="0" fillId="0" borderId="1" pivotButton="0" quotePrefix="0" xfId="0"/>
    <xf numFmtId="164" fontId="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2A8"/>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F3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31" min="1" max="1"/>
    <col width="34" customWidth="1" style="31" min="2" max="2"/>
    <col width="10" customWidth="1" style="31" min="3" max="3"/>
    <col width="22" customWidth="1" style="31" min="4" max="4"/>
    <col width="16" customWidth="1" style="31" min="5" max="5"/>
    <col width="58" customWidth="1" style="31" min="6" max="6"/>
  </cols>
  <sheetData>
    <row r="1" ht="17.25" customHeight="1" s="32">
      <c r="A1" s="33" t="inlineStr">
        <is>
          <t>WDD2 Chapter 8 test log</t>
        </is>
      </c>
    </row>
    <row r="2" ht="15" customHeight="1" s="32">
      <c r="A2" s="34" t="inlineStr">
        <is>
          <t>Requirement map: section, method and result. Results update from the test sheets.</t>
        </is>
      </c>
    </row>
    <row r="4" ht="30" customHeight="1" s="32">
      <c r="A4" s="35" t="inlineStr">
        <is>
          <t>Req.</t>
        </is>
      </c>
      <c r="B4" s="35" t="inlineStr">
        <is>
          <t>What</t>
        </is>
      </c>
      <c r="C4" s="35" t="inlineStr">
        <is>
          <t>Section</t>
        </is>
      </c>
      <c r="D4" s="35" t="inlineStr">
        <is>
          <t>Method</t>
        </is>
      </c>
      <c r="E4" s="35" t="inlineStr">
        <is>
          <t>Result</t>
        </is>
      </c>
      <c r="F4" s="35" t="inlineStr">
        <is>
          <t>Status and notes</t>
        </is>
      </c>
    </row>
    <row r="5" ht="30" customHeight="1" s="32">
      <c r="A5" s="36" t="inlineStr">
        <is>
          <t>R8</t>
        </is>
      </c>
      <c r="B5" s="36" t="inlineStr">
        <is>
          <t>Encoder accuracy ±1°</t>
        </is>
      </c>
      <c r="C5" s="36" t="inlineStr">
        <is>
          <t>8.2</t>
        </is>
      </c>
      <c r="D5" s="36" t="inlineStr">
        <is>
          <t>Test</t>
        </is>
      </c>
      <c r="E5" s="37">
        <f>'8.2 Encoder cal'!F393</f>
        <v/>
      </c>
      <c r="F5" s="36" t="inlineStr">
        <is>
          <t>Sweep 1 (up) 12 Oct against iPhone level (±0.5°) and protractor: max error 0.37–0.61°, no zero change needed. Base hunted between ±30° (touched to settle). Repeat sweeps optional.</t>
        </is>
      </c>
    </row>
    <row r="6" ht="30" customHeight="1" s="32">
      <c r="A6" s="36" t="inlineStr">
        <is>
          <t>R9</t>
        </is>
      </c>
      <c r="B6" s="36" t="inlineStr">
        <is>
          <t>Encoder finer and more accurate than the servo</t>
        </is>
      </c>
      <c r="C6" s="36" t="inlineStr">
        <is>
          <t>8.3</t>
        </is>
      </c>
      <c r="D6" s="36" t="inlineStr">
        <is>
          <t>Test</t>
        </is>
      </c>
      <c r="E6" s="37">
        <f>'8.3 Encoder vs servo'!H34</f>
        <v/>
      </c>
      <c r="F6" s="36" t="inlineStr">
        <is>
          <t>12 Oct: encoder noise ≤ 1 count (0.09°); servo step resolution 0.27–0.78°, reversal deadband 0.6–3.6°; encoder max error 0.37–0.61° vs servo open-loop max 0.74–3.51°.</t>
        </is>
      </c>
    </row>
    <row r="7" ht="30" customHeight="1" s="32">
      <c r="A7" s="36" t="inlineStr">
        <is>
          <t>R11</t>
        </is>
      </c>
      <c r="B7" s="36" t="inlineStr">
        <is>
          <t>Control loop ≥ 200 Hz</t>
        </is>
      </c>
      <c r="C7" s="36" t="inlineStr">
        <is>
          <t>8.4</t>
        </is>
      </c>
      <c r="D7" s="36" t="inlineStr">
        <is>
          <t>Test</t>
        </is>
      </c>
      <c r="E7" s="37">
        <f>'8.4 Control loop'!B21</f>
        <v/>
      </c>
      <c r="F7" s="36" t="inlineStr">
        <is>
          <t>Earlier T runs: I²C 1.54–1.57 ms, loop exec max 1.85–4.45 ms, 0 overruns. Step test with trim on/off to do.</t>
        </is>
      </c>
    </row>
    <row r="8" ht="30" customHeight="1" s="32">
      <c r="A8" s="36" t="inlineStr">
        <is>
          <t>R10</t>
        </is>
      </c>
      <c r="B8" s="36" t="inlineStr">
        <is>
          <t>Grasp detection 9/10</t>
        </is>
      </c>
      <c r="C8" s="36" t="inlineStr">
        <is>
          <t>8.5</t>
        </is>
      </c>
      <c r="D8" s="36" t="inlineStr">
        <is>
          <t>Test</t>
        </is>
      </c>
      <c r="E8" s="37">
        <f>'8.5 Grasp'!D92</f>
        <v/>
      </c>
      <c r="F8" s="36" t="inlineStr">
        <is>
          <t>12 Oct: detection (K line) correct in 70/70 trials, empty to 500 g. With the hold during a 20° lift also required: 400 g 9/10 and 500 g 9/10 (one rotation slip each), all others 10/10. Grip current 0.10–0.21 A vs 0.009 A empty.</t>
        </is>
      </c>
    </row>
    <row r="9" ht="30" customHeight="1" s="32">
      <c r="A9" s="36" t="inlineStr">
        <is>
          <t>R12</t>
        </is>
      </c>
      <c r="B9" s="36" t="inlineStr">
        <is>
          <t>Positioning ±10 mm</t>
        </is>
      </c>
      <c r="C9" s="36" t="inlineStr">
        <is>
          <t>8.6</t>
        </is>
      </c>
      <c r="D9" s="36" t="inlineStr">
        <is>
          <t>Test</t>
        </is>
      </c>
      <c r="E9" s="37">
        <f>'8.6 Accuracy'!I170</f>
        <v/>
      </c>
      <c r="F9" s="36" t="inlineStr">
        <is>
          <t>13 Oct: 9 targets (r 250–350 mm, ±35–50°), 10 approaches each (30 at T9), pen tip as tool. Accuracy 3.1–6.4 mm, repeatability 4.7–7.0 mm, worst single approach 9.1 mm. Mean radial error −0.8 to −5.7 mm (always short); radial error grows over successive approaches (T9: −1.4 → −8.2 mm over 30). 500 g targets (T10, T11) not done.</t>
        </is>
      </c>
    </row>
    <row r="10" ht="30" customHeight="1" s="32">
      <c r="A10" s="36" t="inlineStr">
        <is>
          <t>R13</t>
        </is>
      </c>
      <c r="B10" s="36" t="inlineStr">
        <is>
          <t>Pick-and-place 9/10 within 15 s</t>
        </is>
      </c>
      <c r="C10" s="36" t="inlineStr">
        <is>
          <t>8.7</t>
        </is>
      </c>
      <c r="D10" s="36" t="inlineStr">
        <is>
          <t>Test</t>
        </is>
      </c>
      <c r="E10" s="37">
        <f>'8.7 Cycles'!F39</f>
        <v/>
      </c>
      <c r="F10" s="36" t="inlineStr">
        <is>
          <t>13 Oct: 50 g 10/10 and 500 g 10/10 (plus 5 extra 500 g cycles, all successful). Cycle time 11.7-12.5 s. Place error 50 g 1.0-5.0 mm (mean 2.8), 500 g 1.4-8.0 mm (mean 3.7 over 15). Oscillation before the drop seen in 2/10 (50 g) and 9/15 (500 g) cycles; no significant effect on place error (p = 0.38).</t>
        </is>
      </c>
    </row>
    <row r="11" ht="30" customHeight="1" s="32">
      <c r="A11" s="36" t="inlineStr">
        <is>
          <t>R1</t>
        </is>
      </c>
      <c r="B11" s="36" t="inlineStr">
        <is>
          <t>Reach ≥ 300 mm</t>
        </is>
      </c>
      <c r="C11" s="36" t="inlineStr">
        <is>
          <t>8.7</t>
        </is>
      </c>
      <c r="D11" s="36" t="inlineStr">
        <is>
          <t>Test</t>
        </is>
      </c>
      <c r="E11" s="37">
        <f>'8.7 Cycles'!F39</f>
        <v/>
      </c>
      <c r="F11" s="36" t="inlineStr">
        <is>
          <t>Pick and place stations both at r 300 mm (±45°).</t>
        </is>
      </c>
    </row>
    <row r="12" ht="30" customHeight="1" s="32">
      <c r="A12" s="36" t="inlineStr">
        <is>
          <t>R3</t>
        </is>
      </c>
      <c r="B12" s="36" t="inlineStr">
        <is>
          <t>Payload 500 g</t>
        </is>
      </c>
      <c r="C12" s="36" t="inlineStr">
        <is>
          <t>8.7</t>
        </is>
      </c>
      <c r="D12" s="36" t="inlineStr">
        <is>
          <t>Test</t>
        </is>
      </c>
      <c r="E12" s="37">
        <f>'8.7 Cycles'!F39</f>
        <v/>
      </c>
      <c r="F12" s="36" t="inlineStr">
        <is>
          <t>13 Oct: 500 g carried and placed in 15/15 cycles.</t>
        </is>
      </c>
    </row>
    <row r="13" ht="30" customHeight="1" s="32">
      <c r="A13" s="36" t="inlineStr">
        <is>
          <t>R2</t>
        </is>
      </c>
      <c r="B13" s="36" t="inlineStr">
        <is>
          <t>Hold 500 g at full extension</t>
        </is>
      </c>
      <c r="C13" s="36" t="inlineStr">
        <is>
          <t>8.8</t>
        </is>
      </c>
      <c r="D13" s="36" t="inlineStr">
        <is>
          <t>Test</t>
        </is>
      </c>
      <c r="E13" s="37">
        <f>'8.8 Power &amp; safety'!B15</f>
        <v/>
      </c>
      <c r="F13" s="36" t="inlineStr">
        <is>
          <t>13 Oct: held 500 g at full extension (all joints 0°) for 5 min. Tip sag 15 mm (pad 65 → 50 mm); shoulder −0.75°, elbow −0.63° by encoder, both trims at the +5° clamp.</t>
        </is>
      </c>
    </row>
    <row r="14" ht="30" customHeight="1" s="32">
      <c r="A14" s="36" t="inlineStr">
        <is>
          <t>R5</t>
        </is>
      </c>
      <c r="B14" s="36" t="inlineStr">
        <is>
          <t>Rails within servo ratings</t>
        </is>
      </c>
      <c r="C14" s="36" t="inlineStr">
        <is>
          <t>8.8</t>
        </is>
      </c>
      <c r="D14" s="36" t="inlineStr">
        <is>
          <t>Test</t>
        </is>
      </c>
      <c r="E14" s="37">
        <f>'8.8 Power &amp; safety'!G23</f>
        <v/>
      </c>
      <c r="F14" s="36" t="inlineStr">
        <is>
          <t>13 Oct, 500 g: idle / holding extended / lowest in an 8.7 cycle: shoulder 8.12 / 8.05 / 7.78 V, base+elbow 6.67 / 6.63 / 6.65 V, wrist+gripper 6.54 / 6.50 / 6.51 V, 5 V logic 5.15 / 5.06 / 5.15 V. No rail rose above idle. Multimeter only (~3 readings/s).</t>
        </is>
      </c>
    </row>
    <row r="15" ht="30" customHeight="1" s="32">
      <c r="A15" s="36" t="inlineStr">
        <is>
          <t>R4</t>
        </is>
      </c>
      <c r="B15" s="36" t="inlineStr">
        <is>
          <t>Servo temperatures</t>
        </is>
      </c>
      <c r="C15" s="36" t="inlineStr">
        <is>
          <t>8.8</t>
        </is>
      </c>
      <c r="D15" s="36" t="inlineStr">
        <is>
          <t>Test</t>
        </is>
      </c>
      <c r="E15" s="37">
        <f>'8.8 Power &amp; safety'!E32</f>
        <v/>
      </c>
      <c r="F15" s="36" t="inlineStr">
        <is>
          <t>13 Oct (room 19.0 °C): after 25 cycles servos 19.4–29.8 °C; after 5 min holding 500 g extended elbow 54.5 °C (+35.5), shoulder 32.1 °C, others ≤ 23.4 °C. E-stop relay 41.7–42.8 °C. Limit 60 °C is assumed; check the DS3240 rating.</t>
        </is>
      </c>
    </row>
    <row r="16" ht="30" customHeight="1" s="32">
      <c r="A16" s="36" t="inlineStr">
        <is>
          <t>R6</t>
        </is>
      </c>
      <c r="B16" s="36" t="inlineStr">
        <is>
          <t>Fuse and protection</t>
        </is>
      </c>
      <c r="C16" s="36" t="inlineStr">
        <is>
          <t>8.8</t>
        </is>
      </c>
      <c r="D16" s="36" t="inlineStr">
        <is>
          <t>Test + inspection</t>
        </is>
      </c>
      <c r="E16" s="37">
        <f>'8.8 Power &amp; safety'!C51</f>
        <v/>
      </c>
      <c r="F16" s="36" t="inlineStr">
        <is>
          <t>Fuse intact after all tests (13 Oct). Polarity protection and transient suppression by inspection.</t>
        </is>
      </c>
    </row>
    <row r="17" ht="30" customHeight="1" s="32">
      <c r="A17" s="36" t="inlineStr">
        <is>
          <t>R7</t>
        </is>
      </c>
      <c r="B17" s="36" t="inlineStr">
        <is>
          <t>E-stop cuts servo power</t>
        </is>
      </c>
      <c r="C17" s="36" t="inlineStr">
        <is>
          <t>8.8</t>
        </is>
      </c>
      <c r="D17" s="36" t="inlineStr">
        <is>
          <t>Test</t>
        </is>
      </c>
      <c r="E17" s="37">
        <f>'8.8 Power &amp; safety'!F48</f>
        <v/>
      </c>
      <c r="F17" s="36" t="inlineStr">
        <is>
          <t>13 Oct: 10/10 presses during motion cut every servo rail to 0 V, GUI showed the E-stop, arm stopped in 0.20–0.34 s; ESP and 5 V stayed on; restart only after latch release + GUI Reset. GPIO 41 wire off: relay still cut the rails, but on release the arm jerked to its last pose with no reset (restart interlock relies on the signal wire).</t>
        </is>
      </c>
    </row>
    <row r="18" ht="30" customHeight="1" s="32">
      <c r="A18" s="36" t="inlineStr">
        <is>
          <t>R14</t>
        </is>
      </c>
      <c r="B18" s="36" t="inlineStr">
        <is>
          <t>GUI</t>
        </is>
      </c>
      <c r="C18" s="36" t="inlineStr">
        <is>
          <t>8.2–8.8</t>
        </is>
      </c>
      <c r="D18" s="36" t="inlineStr">
        <is>
          <t>Demonstration</t>
        </is>
      </c>
      <c r="E18" s="37" t="inlineStr">
        <is>
          <t>shown</t>
        </is>
      </c>
      <c r="F18" s="36" t="inlineStr">
        <is>
          <t>Used throughout the tests.</t>
        </is>
      </c>
    </row>
    <row r="19" ht="30" customHeight="1" s="32">
      <c r="A19" s="36" t="inlineStr">
        <is>
          <t>R15</t>
        </is>
      </c>
      <c r="B19" s="36" t="inlineStr">
        <is>
          <t>Cost</t>
        </is>
      </c>
      <c r="C19" s="36" t="inlineStr">
        <is>
          <t>App.</t>
        </is>
      </c>
      <c r="D19" s="36" t="inlineStr">
        <is>
          <t>Analysis</t>
        </is>
      </c>
      <c r="E19" s="37" t="inlineStr">
        <is>
          <t>see appendix</t>
        </is>
      </c>
      <c r="F19" s="36" t="inlineStr">
        <is>
          <t>Techno-economic appendix.</t>
        </is>
      </c>
    </row>
    <row r="20" ht="30" customHeight="1" s="32">
      <c r="A20" s="36" t="inlineStr">
        <is>
          <t>R16</t>
        </is>
      </c>
      <c r="B20" s="36" t="inlineStr">
        <is>
          <t>Local sourcing</t>
        </is>
      </c>
      <c r="C20" s="36" t="inlineStr">
        <is>
          <t>App.</t>
        </is>
      </c>
      <c r="D20" s="36" t="inlineStr">
        <is>
          <t>Analysis</t>
        </is>
      </c>
      <c r="E20" s="37" t="inlineStr">
        <is>
          <t>see appendix</t>
        </is>
      </c>
      <c r="F20" s="36" t="inlineStr">
        <is>
          <t>Techno-economic appendix.</t>
        </is>
      </c>
    </row>
    <row r="22" ht="15" customHeight="1" s="32">
      <c r="A22" s="38" t="inlineStr">
        <is>
          <t>Suggested order</t>
        </is>
      </c>
    </row>
    <row r="23" ht="15" customHeight="1" s="32">
      <c r="A23" s="39" t="inlineStr">
        <is>
          <t>1. 8.4 loop rate (5 min, Serial Monitor only)</t>
        </is>
      </c>
    </row>
    <row r="24" ht="15" customHeight="1" s="32">
      <c r="A24" s="39" t="inlineStr">
        <is>
          <t>2. 8.3 part 1 noise and part 2 deadband (30 min)</t>
        </is>
      </c>
    </row>
    <row r="25" ht="15" customHeight="1" s="32">
      <c r="A25" s="39" t="inlineStr">
        <is>
          <t>3. 8.2 encoder calibration: one sweep, send it to me, update the zeros, then 3 verification sweeps (2–3 h)</t>
        </is>
      </c>
    </row>
    <row r="26" ht="15" customHeight="1" s="32">
      <c r="A26" s="39" t="inlineStr">
        <is>
          <t>4. 8.4 step test with the trim on and off (45 min)</t>
        </is>
      </c>
    </row>
    <row r="27" ht="15" customHeight="1" s="32">
      <c r="A27" s="39" t="inlineStr">
        <is>
          <t>5. 8.5 grasp trials (1 h)</t>
        </is>
      </c>
    </row>
    <row r="28" ht="15" customHeight="1" s="32">
      <c r="A28" s="39" t="inlineStr">
        <is>
          <t>6. 8.6 accuracy and repeatability (2–3 h, needs the mat and the pointer)</t>
        </is>
      </c>
    </row>
    <row r="29" ht="15" customHeight="1" s="32">
      <c r="A29" s="39" t="inlineStr">
        <is>
          <t>7. 8.7 pick-and-place cycles (1 h, film them)</t>
        </is>
      </c>
    </row>
    <row r="30" ht="15" customHeight="1" s="32">
      <c r="A30" s="39" t="inlineStr">
        <is>
          <t>8. 8.8 power, temperatures and E-stop (1 h, E-stop runs last, over something soft)</t>
        </is>
      </c>
    </row>
  </sheetData>
  <mergeCells count="8">
    <mergeCell ref="A24:F24"/>
    <mergeCell ref="A28:F28"/>
    <mergeCell ref="A23:F23"/>
    <mergeCell ref="A27:F27"/>
    <mergeCell ref="A26:F26"/>
    <mergeCell ref="A30:F30"/>
    <mergeCell ref="A29:F29"/>
    <mergeCell ref="A25:F2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D2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1" min="1" max="1"/>
    <col width="28" customWidth="1" style="31" min="2" max="2"/>
    <col width="18" customWidth="1" style="31" min="3" max="3"/>
    <col width="44" customWidth="1" style="31" min="4" max="4"/>
  </cols>
  <sheetData>
    <row r="1" ht="17.25" customHeight="1" s="32">
      <c r="A1" s="33" t="inlineStr">
        <is>
          <t>8.1 Test setup</t>
        </is>
      </c>
    </row>
    <row r="2" ht="15" customHeight="1" s="32">
      <c r="A2" s="34" t="inlineStr">
        <is>
          <t>Record once per test day. Not a test.</t>
        </is>
      </c>
    </row>
    <row r="4" ht="25.5" customHeight="1" s="32">
      <c r="A4" s="40" t="inlineStr">
        <is>
          <t>Legend: yellow cells = fill in during the test. Green cells = already measured during bring-up (keep or overwrite). White cells are formulas; do not type in them. The grey example row is not counted.</t>
        </is>
      </c>
    </row>
    <row r="5" ht="30" customHeight="1" s="32">
      <c r="A5" s="35" t="inlineStr">
        <is>
          <t>Item</t>
        </is>
      </c>
      <c r="B5" s="35" t="inlineStr">
        <is>
          <t>Make and model</t>
        </is>
      </c>
      <c r="C5" s="35" t="inlineStr">
        <is>
          <t>Resolution</t>
        </is>
      </c>
      <c r="D5" s="35" t="inlineStr">
        <is>
          <t>Notes</t>
        </is>
      </c>
    </row>
    <row r="6" ht="15" customHeight="1" s="32">
      <c r="A6" s="41" t="inlineStr">
        <is>
          <t>Digital angle gauge / inclinometer</t>
        </is>
      </c>
      <c r="B6" s="42" t="n"/>
      <c r="C6" s="42" t="n"/>
      <c r="D6" s="42" t="n"/>
    </row>
    <row r="7" ht="15" customHeight="1" s="32">
      <c r="A7" s="41" t="inlineStr">
        <is>
          <t>Calipers</t>
        </is>
      </c>
      <c r="B7" s="42" t="n"/>
      <c r="C7" s="42" t="n"/>
      <c r="D7" s="42" t="n"/>
    </row>
    <row r="8" ht="15" customHeight="1" s="32">
      <c r="A8" s="41" t="inlineStr">
        <is>
          <t>Steel ruler</t>
        </is>
      </c>
      <c r="B8" s="42" t="n"/>
      <c r="C8" s="42" t="n"/>
      <c r="D8" s="42" t="n"/>
    </row>
    <row r="9" ht="15" customHeight="1" s="32">
      <c r="A9" s="41" t="inlineStr">
        <is>
          <t>Kitchen scale</t>
        </is>
      </c>
      <c r="B9" s="42" t="n"/>
      <c r="C9" s="42" t="n"/>
      <c r="D9" s="42" t="n"/>
    </row>
    <row r="10" ht="15" customHeight="1" s="32">
      <c r="A10" s="41" t="inlineStr">
        <is>
          <t>Multimeter</t>
        </is>
      </c>
      <c r="B10" s="42" t="n"/>
      <c r="C10" s="42" t="n"/>
      <c r="D10" s="42" t="n"/>
    </row>
    <row r="11" ht="15" customHeight="1" s="32">
      <c r="A11" s="41" t="inlineStr">
        <is>
          <t>IR thermometer (if borrowed)</t>
        </is>
      </c>
      <c r="B11" s="42" t="n"/>
      <c r="C11" s="42" t="n"/>
      <c r="D11" s="42" t="n"/>
    </row>
    <row r="12" ht="15" customHeight="1" s="32">
      <c r="A12" s="41" t="inlineStr">
        <is>
          <t>Phone (video)</t>
        </is>
      </c>
      <c r="B12" s="42" t="n"/>
      <c r="C12" s="42" t="n"/>
      <c r="D12" s="42" t="n"/>
    </row>
    <row r="13" ht="15" customHeight="1" s="32">
      <c r="A13" s="41" t="inlineStr">
        <is>
          <t>Printed target mat</t>
        </is>
      </c>
      <c r="B13" s="42" t="n"/>
      <c r="C13" s="42" t="n"/>
      <c r="D13" s="42" t="inlineStr">
        <is>
          <t>print at 100 %</t>
        </is>
      </c>
    </row>
    <row r="14" ht="15" customHeight="1" s="32">
      <c r="A14" s="41" t="inlineStr">
        <is>
          <t>Printed protractor for the base</t>
        </is>
      </c>
      <c r="B14" s="42" t="n"/>
      <c r="C14" s="42" t="n"/>
      <c r="D14" s="42" t="inlineStr">
        <is>
          <t>1° marks</t>
        </is>
      </c>
    </row>
    <row r="16" ht="15" customHeight="1" s="32">
      <c r="A16" s="38" t="inlineStr">
        <is>
          <t>Conditions</t>
        </is>
      </c>
    </row>
    <row r="17" ht="30" customHeight="1" s="32">
      <c r="A17" s="35" t="inlineStr">
        <is>
          <t>Item</t>
        </is>
      </c>
      <c r="B17" s="35" t="inlineStr">
        <is>
          <t>Value</t>
        </is>
      </c>
      <c r="C17" s="35" t="inlineStr">
        <is>
          <t>Unit</t>
        </is>
      </c>
      <c r="D17" s="35" t="inlineStr">
        <is>
          <t>Notes</t>
        </is>
      </c>
    </row>
    <row r="18" ht="15" customHeight="1" s="32">
      <c r="A18" s="41" t="inlineStr">
        <is>
          <t>Test date</t>
        </is>
      </c>
      <c r="B18" s="42" t="n"/>
      <c r="C18" s="41" t="n"/>
      <c r="D18" s="41" t="n"/>
    </row>
    <row r="19" ht="15" customHeight="1" s="32">
      <c r="A19" s="41" t="inlineStr">
        <is>
          <t>Room temperature</t>
        </is>
      </c>
      <c r="B19" s="42" t="n"/>
      <c r="C19" s="41" t="inlineStr">
        <is>
          <t>°C</t>
        </is>
      </c>
      <c r="D19" s="41" t="n"/>
    </row>
    <row r="20" ht="15" customHeight="1" s="32">
      <c r="A20" s="41" t="inlineStr">
        <is>
          <t>12 V supply voltage (at the fuse)</t>
        </is>
      </c>
      <c r="B20" s="42" t="n"/>
      <c r="C20" s="41" t="inlineStr">
        <is>
          <t>V</t>
        </is>
      </c>
      <c r="D20" s="41" t="n"/>
    </row>
    <row r="21" ht="15" customHeight="1" s="32">
      <c r="A21" s="41" t="inlineStr">
        <is>
          <t>Firmware</t>
        </is>
      </c>
      <c r="B21" s="42" t="n"/>
      <c r="C21" s="41" t="n"/>
      <c r="D21" s="41" t="inlineStr">
        <is>
          <t>WDD2_firmware.ino, 12 Oct 2026 (S-curve, trim, X/O/T commands)</t>
        </is>
      </c>
    </row>
    <row r="22" ht="15" customHeight="1" s="32">
      <c r="A22" s="41" t="inlineStr">
        <is>
          <t>GUI</t>
        </is>
      </c>
      <c r="B22" s="42" t="n"/>
      <c r="C22" s="41" t="n"/>
      <c r="D22" s="41" t="inlineStr">
        <is>
          <t>ui_app.py, 11 Oct 2026 (50 Hz J sender, 50 Hz log)</t>
        </is>
      </c>
    </row>
    <row r="23" ht="15" customHeight="1" s="32">
      <c r="A23" s="41" t="inlineStr">
        <is>
          <t>Encoder zeros (ZERO_RAW)</t>
        </is>
      </c>
      <c r="B23" s="42" t="n"/>
      <c r="C23" s="41" t="n"/>
      <c r="D23" s="41" t="inlineStr">
        <is>
          <t>1055, 117, 645, 444 (base, shoulder, elbow, wrist)</t>
        </is>
      </c>
    </row>
    <row r="25" ht="30" customHeight="1" s="32">
      <c r="A25" s="43" t="inlineStr">
        <is>
          <t>Export naming: save every GUI export as WDD2_&lt;section&gt;_&lt;what&gt;_&lt;yyyymmdd&gt;.xlsx, e.g. WDD2_8.6_accuracy_20261013.xlsx, and every Serial Monitor log as a .txt with the same name.</t>
        </is>
      </c>
    </row>
  </sheetData>
  <mergeCells count="2">
    <mergeCell ref="A4:D4"/>
    <mergeCell ref="A25:D2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L393"/>
  <sheetViews>
    <sheetView showFormulas="0" showGridLines="0" showRowColHeaders="1" showZeros="1" rightToLeft="0" tabSelected="0" showOutlineSymbols="1" defaultGridColor="1"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31" min="1" max="1"/>
    <col width="7" customWidth="1" style="31" min="2" max="2"/>
    <col width="8" customWidth="1" style="31" min="3" max="3"/>
    <col width="11" customWidth="1" style="31" min="4" max="4"/>
    <col width="14" customWidth="1" style="31" min="5" max="6"/>
    <col width="12" customWidth="1" style="31" min="7" max="8"/>
    <col width="11" customWidth="1" style="31" min="9" max="9"/>
    <col width="10" customWidth="1" style="31" min="10" max="11"/>
    <col width="30" customWidth="1" style="31" min="12" max="12"/>
  </cols>
  <sheetData>
    <row r="1" ht="17.25" customHeight="1" s="32">
      <c r="A1" s="33" t="inlineStr">
        <is>
          <t>8.2 Encoder calibration (R8: ±1°, Objective 3)</t>
        </is>
      </c>
    </row>
    <row r="2" ht="15" customHeight="1" s="32">
      <c r="A2" s="34" t="inlineStr">
        <is>
          <t>Shows that each AS5600 reads the true joint angle within ±1°, against an independent reference.</t>
        </is>
      </c>
    </row>
    <row r="4" ht="15" customHeight="1" s="32">
      <c r="A4" s="44" t="inlineStr">
        <is>
          <t>Method:</t>
        </is>
      </c>
    </row>
    <row r="5" ht="30" customHeight="1" s="32">
      <c r="A5" s="45" t="inlineStr">
        <is>
          <t>1. Serial Monitor, GUI closed. Move a joint with M,joint,angle,40 (0 base, 1 shoulder, 2 elbow, 3 wrist). Wait 2 s, then type O,joint,2: the "mean" it prints is the encoder angle (2 s average).</t>
        </is>
      </c>
    </row>
    <row r="6" ht="15" customHeight="1" s="32">
      <c r="A6" s="45" t="inlineStr">
        <is>
          <t>2. Reference: iPhone Measure → Level, phone on its long edge, zeroed on the table (±0.5°). The level shows magnitude only: readings below horizontal are entered as negative. Positive = up.</t>
        </is>
      </c>
    </row>
    <row r="7" ht="45" customHeight="1" s="32">
      <c r="A7" s="45" t="inlineStr">
        <is>
          <t xml:space="preserve">   Shoulder: gauge on the upper arm. Elbow: gauge on the forearm AND on the upper arm (elbow = forearm − upper arm). Wrist: gauge on the gripper AND on the forearm. Base: printed protractor under the turntable with a pointer.</t>
        </is>
      </c>
    </row>
    <row r="8" ht="30" customHeight="1" s="32">
      <c r="A8" s="45" t="inlineStr">
        <is>
          <t>3. First do ONE upward sweep and send it to me: I work out any zero offset and update ZERO_RAW (and the servo fits, which use the same zero). Upload, then do the 3 verification sweeps below.</t>
        </is>
      </c>
    </row>
    <row r="9" ht="15" customHeight="1" s="32">
      <c r="A9" s="45" t="inlineStr">
        <is>
          <t>4. Each sweep: step up through the listed angles, then back down. Always approach in the stated direction.</t>
        </is>
      </c>
    </row>
    <row r="10" ht="15" customHeight="1" s="32">
      <c r="A10" s="45" t="inlineStr">
        <is>
          <t>Pass: maximum |error| ≤ 1.0° on every joint after calibration.</t>
        </is>
      </c>
    </row>
    <row r="11" ht="25.5" customHeight="1" s="32">
      <c r="A11" s="40" t="inlineStr">
        <is>
          <t>Legend: yellow cells = fill in during the test. Green cells = already measured during bring-up (keep or overwrite). White cells are formulas; do not type in them. The grey example row is not counted.</t>
        </is>
      </c>
    </row>
    <row r="12" ht="30" customHeight="1" s="32">
      <c r="A12" s="35" t="inlineStr">
        <is>
          <t>Joint</t>
        </is>
      </c>
      <c r="B12" s="35" t="inlineStr">
        <is>
          <t>Sweep</t>
        </is>
      </c>
      <c r="C12" s="35" t="inlineStr">
        <is>
          <t>Dir</t>
        </is>
      </c>
      <c r="D12" s="35" t="inlineStr">
        <is>
          <t>Nominal (°)</t>
        </is>
      </c>
      <c r="E12" s="35" t="inlineStr">
        <is>
          <t>Gauge on this link (°)</t>
        </is>
      </c>
      <c r="F12" s="35" t="inlineStr">
        <is>
          <t>Gauge on parent link (°)</t>
        </is>
      </c>
      <c r="G12" s="35" t="inlineStr">
        <is>
          <t>Reference (°)</t>
        </is>
      </c>
      <c r="H12" s="35" t="inlineStr">
        <is>
          <t>Encoder (°)</t>
        </is>
      </c>
      <c r="I12" s="35" t="inlineStr">
        <is>
          <t>Error (°)</t>
        </is>
      </c>
      <c r="J12" s="35" t="inlineStr">
        <is>
          <t>|Error|</t>
        </is>
      </c>
      <c r="K12" s="35" t="inlineStr">
        <is>
          <t>Error²</t>
        </is>
      </c>
      <c r="L12" s="35" t="inlineStr">
        <is>
          <t>Note</t>
        </is>
      </c>
    </row>
    <row r="13" ht="15" customHeight="1" s="32">
      <c r="A13" s="46" t="inlineStr">
        <is>
          <t>elbow</t>
        </is>
      </c>
      <c r="B13" s="46" t="inlineStr">
        <is>
          <t>ex</t>
        </is>
      </c>
      <c r="C13" s="46" t="inlineStr">
        <is>
          <t>up</t>
        </is>
      </c>
      <c r="D13" s="46" t="n">
        <v>20</v>
      </c>
      <c r="E13" s="46" t="n">
        <v>21.6</v>
      </c>
      <c r="F13" s="46" t="n">
        <v>1.2</v>
      </c>
      <c r="G13" s="47">
        <f>E13-F13</f>
        <v/>
      </c>
      <c r="H13" s="46" t="n">
        <v>20.6</v>
      </c>
      <c r="I13" s="47">
        <f>H13-G13</f>
        <v/>
      </c>
    </row>
    <row r="14" ht="15" customHeight="1" s="32">
      <c r="A14" s="41" t="inlineStr">
        <is>
          <t>base</t>
        </is>
      </c>
      <c r="B14" s="41" t="n">
        <v>1</v>
      </c>
      <c r="C14" s="41" t="inlineStr">
        <is>
          <t>up</t>
        </is>
      </c>
      <c r="D14" s="41" t="n">
        <v>-60</v>
      </c>
      <c r="E14" s="48" t="n">
        <v>-60.2</v>
      </c>
      <c r="F14" s="49" t="inlineStr">
        <is>
          <t>—</t>
        </is>
      </c>
      <c r="G14" s="50">
        <f>IF(ISNUMBER(E14),E14-IF(ISNUMBER(F14),F14,0),"")</f>
        <v/>
      </c>
      <c r="H14" s="51" t="n">
        <v>-59.59</v>
      </c>
      <c r="I14" s="50">
        <f>IF(AND(ISNUMBER(G14),ISNUMBER(H14)),H14-G14,"")</f>
        <v/>
      </c>
      <c r="J14" s="50">
        <f>IF(ISNUMBER(I14),ABS(I14),"")</f>
        <v/>
      </c>
      <c r="K14" s="52">
        <f>IF(ISNUMBER(I14),I14^2,"")</f>
        <v/>
      </c>
    </row>
    <row r="15" ht="15" customHeight="1" s="32">
      <c r="A15" s="41" t="inlineStr">
        <is>
          <t>base</t>
        </is>
      </c>
      <c r="B15" s="41" t="n">
        <v>1</v>
      </c>
      <c r="C15" s="41" t="inlineStr">
        <is>
          <t>up</t>
        </is>
      </c>
      <c r="D15" s="41" t="n">
        <v>-50</v>
      </c>
      <c r="E15" s="48" t="n">
        <v>-49.7</v>
      </c>
      <c r="F15" s="49" t="inlineStr">
        <is>
          <t>—</t>
        </is>
      </c>
      <c r="G15" s="50">
        <f>IF(ISNUMBER(E15),E15-IF(ISNUMBER(F15),F15,0),"")</f>
        <v/>
      </c>
      <c r="H15" s="51" t="n">
        <v>-50.19</v>
      </c>
      <c r="I15" s="50">
        <f>IF(AND(ISNUMBER(G15),ISNUMBER(H15)),H15-G15,"")</f>
        <v/>
      </c>
      <c r="J15" s="50">
        <f>IF(ISNUMBER(I15),ABS(I15),"")</f>
        <v/>
      </c>
      <c r="K15" s="52">
        <f>IF(ISNUMBER(I15),I15^2,"")</f>
        <v/>
      </c>
    </row>
    <row r="16" ht="15" customHeight="1" s="32">
      <c r="A16" s="41" t="inlineStr">
        <is>
          <t>base</t>
        </is>
      </c>
      <c r="B16" s="41" t="n">
        <v>1</v>
      </c>
      <c r="C16" s="41" t="inlineStr">
        <is>
          <t>up</t>
        </is>
      </c>
      <c r="D16" s="41" t="n">
        <v>-40</v>
      </c>
      <c r="E16" s="48" t="n">
        <v>-39.9</v>
      </c>
      <c r="F16" s="49" t="inlineStr">
        <is>
          <t>—</t>
        </is>
      </c>
      <c r="G16" s="50">
        <f>IF(ISNUMBER(E16),E16-IF(ISNUMBER(F16),F16,0),"")</f>
        <v/>
      </c>
      <c r="H16" s="51" t="n">
        <v>-40.15</v>
      </c>
      <c r="I16" s="50">
        <f>IF(AND(ISNUMBER(G16),ISNUMBER(H16)),H16-G16,"")</f>
        <v/>
      </c>
      <c r="J16" s="50">
        <f>IF(ISNUMBER(I16),ABS(I16),"")</f>
        <v/>
      </c>
      <c r="K16" s="52">
        <f>IF(ISNUMBER(I16),I16^2,"")</f>
        <v/>
      </c>
    </row>
    <row r="17" ht="15" customHeight="1" s="32">
      <c r="A17" s="41" t="inlineStr">
        <is>
          <t>base</t>
        </is>
      </c>
      <c r="B17" s="41" t="n">
        <v>1</v>
      </c>
      <c r="C17" s="41" t="inlineStr">
        <is>
          <t>up</t>
        </is>
      </c>
      <c r="D17" s="41" t="n">
        <v>-30</v>
      </c>
      <c r="E17" s="48" t="n">
        <v>-30.2</v>
      </c>
      <c r="F17" s="49" t="inlineStr">
        <is>
          <t>—</t>
        </is>
      </c>
      <c r="G17" s="50">
        <f>IF(ISNUMBER(E17),E17-IF(ISNUMBER(F17),F17,0),"")</f>
        <v/>
      </c>
      <c r="H17" s="51" t="n">
        <v>-30.06</v>
      </c>
      <c r="I17" s="50">
        <f>IF(AND(ISNUMBER(G17),ISNUMBER(H17)),H17-G17,"")</f>
        <v/>
      </c>
      <c r="J17" s="50">
        <f>IF(ISNUMBER(I17),ABS(I17),"")</f>
        <v/>
      </c>
      <c r="K17" s="52">
        <f>IF(ISNUMBER(I17),I17^2,"")</f>
        <v/>
      </c>
      <c r="L17" s="31" t="inlineStr">
        <is>
          <t>hunted; touched to settle</t>
        </is>
      </c>
    </row>
    <row r="18" ht="15" customHeight="1" s="32">
      <c r="A18" s="41" t="inlineStr">
        <is>
          <t>base</t>
        </is>
      </c>
      <c r="B18" s="41" t="n">
        <v>1</v>
      </c>
      <c r="C18" s="41" t="inlineStr">
        <is>
          <t>up</t>
        </is>
      </c>
      <c r="D18" s="41" t="n">
        <v>-20</v>
      </c>
      <c r="E18" s="48" t="n">
        <v>-19.7</v>
      </c>
      <c r="F18" s="49" t="inlineStr">
        <is>
          <t>—</t>
        </is>
      </c>
      <c r="G18" s="50">
        <f>IF(ISNUMBER(E18),E18-IF(ISNUMBER(F18),F18,0),"")</f>
        <v/>
      </c>
      <c r="H18" s="51" t="n">
        <v>-20.13</v>
      </c>
      <c r="I18" s="50">
        <f>IF(AND(ISNUMBER(G18),ISNUMBER(H18)),H18-G18,"")</f>
        <v/>
      </c>
      <c r="J18" s="50">
        <f>IF(ISNUMBER(I18),ABS(I18),"")</f>
        <v/>
      </c>
      <c r="K18" s="52">
        <f>IF(ISNUMBER(I18),I18^2,"")</f>
        <v/>
      </c>
      <c r="L18" s="31" t="inlineStr">
        <is>
          <t>hunted; touched to settle</t>
        </is>
      </c>
    </row>
    <row r="19" ht="15" customHeight="1" s="32">
      <c r="A19" s="41" t="inlineStr">
        <is>
          <t>base</t>
        </is>
      </c>
      <c r="B19" s="41" t="n">
        <v>1</v>
      </c>
      <c r="C19" s="41" t="inlineStr">
        <is>
          <t>up</t>
        </is>
      </c>
      <c r="D19" s="41" t="n">
        <v>-10</v>
      </c>
      <c r="E19" s="48" t="n">
        <v>-9.9</v>
      </c>
      <c r="F19" s="49" t="inlineStr">
        <is>
          <t>—</t>
        </is>
      </c>
      <c r="G19" s="50">
        <f>IF(ISNUMBER(E19),E19-IF(ISNUMBER(F19),F19,0),"")</f>
        <v/>
      </c>
      <c r="H19" s="51" t="n">
        <v>-10.02</v>
      </c>
      <c r="I19" s="50">
        <f>IF(AND(ISNUMBER(G19),ISNUMBER(H19)),H19-G19,"")</f>
        <v/>
      </c>
      <c r="J19" s="50">
        <f>IF(ISNUMBER(I19),ABS(I19),"")</f>
        <v/>
      </c>
      <c r="K19" s="52">
        <f>IF(ISNUMBER(I19),I19^2,"")</f>
        <v/>
      </c>
      <c r="L19" s="31" t="inlineStr">
        <is>
          <t>hunted; touched to settle</t>
        </is>
      </c>
    </row>
    <row r="20" ht="15" customHeight="1" s="32">
      <c r="A20" s="41" t="inlineStr">
        <is>
          <t>base</t>
        </is>
      </c>
      <c r="B20" s="41" t="n">
        <v>1</v>
      </c>
      <c r="C20" s="41" t="inlineStr">
        <is>
          <t>up</t>
        </is>
      </c>
      <c r="D20" s="41" t="n">
        <v>0</v>
      </c>
      <c r="E20" s="48" t="n">
        <v>0.2</v>
      </c>
      <c r="F20" s="49" t="inlineStr">
        <is>
          <t>—</t>
        </is>
      </c>
      <c r="G20" s="50">
        <f>IF(ISNUMBER(E20),E20-IF(ISNUMBER(F20),F20,0),"")</f>
        <v/>
      </c>
      <c r="H20" s="51" t="n">
        <v>0.26</v>
      </c>
      <c r="I20" s="50">
        <f>IF(AND(ISNUMBER(G20),ISNUMBER(H20)),H20-G20,"")</f>
        <v/>
      </c>
      <c r="J20" s="50">
        <f>IF(ISNUMBER(I20),ABS(I20),"")</f>
        <v/>
      </c>
      <c r="K20" s="52">
        <f>IF(ISNUMBER(I20),I20^2,"")</f>
        <v/>
      </c>
      <c r="L20" s="31" t="inlineStr">
        <is>
          <t>hunted; touched to settle</t>
        </is>
      </c>
    </row>
    <row r="21" ht="15" customHeight="1" s="32">
      <c r="A21" s="41" t="inlineStr">
        <is>
          <t>base</t>
        </is>
      </c>
      <c r="B21" s="41" t="n">
        <v>1</v>
      </c>
      <c r="C21" s="41" t="inlineStr">
        <is>
          <t>up</t>
        </is>
      </c>
      <c r="D21" s="41" t="n">
        <v>10</v>
      </c>
      <c r="E21" s="48" t="n">
        <v>9.800000000000001</v>
      </c>
      <c r="F21" s="49" t="inlineStr">
        <is>
          <t>—</t>
        </is>
      </c>
      <c r="G21" s="50">
        <f>IF(ISNUMBER(E21),E21-IF(ISNUMBER(F21),F21,0),"")</f>
        <v/>
      </c>
      <c r="H21" s="51" t="n">
        <v>9.93</v>
      </c>
      <c r="I21" s="50">
        <f>IF(AND(ISNUMBER(G21),ISNUMBER(H21)),H21-G21,"")</f>
        <v/>
      </c>
      <c r="J21" s="50">
        <f>IF(ISNUMBER(I21),ABS(I21),"")</f>
        <v/>
      </c>
      <c r="K21" s="52">
        <f>IF(ISNUMBER(I21),I21^2,"")</f>
        <v/>
      </c>
      <c r="L21" s="31" t="inlineStr">
        <is>
          <t>hunted; touched to settle</t>
        </is>
      </c>
    </row>
    <row r="22" ht="15" customHeight="1" s="32">
      <c r="A22" s="41" t="inlineStr">
        <is>
          <t>base</t>
        </is>
      </c>
      <c r="B22" s="41" t="n">
        <v>1</v>
      </c>
      <c r="C22" s="41" t="inlineStr">
        <is>
          <t>up</t>
        </is>
      </c>
      <c r="D22" s="41" t="n">
        <v>20</v>
      </c>
      <c r="E22" s="48" t="n">
        <v>19.8</v>
      </c>
      <c r="F22" s="49" t="inlineStr">
        <is>
          <t>—</t>
        </is>
      </c>
      <c r="G22" s="50">
        <f>IF(ISNUMBER(E22),E22-IF(ISNUMBER(F22),F22,0),"")</f>
        <v/>
      </c>
      <c r="H22" s="51" t="n">
        <v>19.61</v>
      </c>
      <c r="I22" s="50">
        <f>IF(AND(ISNUMBER(G22),ISNUMBER(H22)),H22-G22,"")</f>
        <v/>
      </c>
      <c r="J22" s="50">
        <f>IF(ISNUMBER(I22),ABS(I22),"")</f>
        <v/>
      </c>
      <c r="K22" s="52">
        <f>IF(ISNUMBER(I22),I22^2,"")</f>
        <v/>
      </c>
      <c r="L22" s="31" t="inlineStr">
        <is>
          <t>hunted; touched to settle</t>
        </is>
      </c>
    </row>
    <row r="23" ht="15" customHeight="1" s="32">
      <c r="A23" s="41" t="inlineStr">
        <is>
          <t>base</t>
        </is>
      </c>
      <c r="B23" s="41" t="n">
        <v>1</v>
      </c>
      <c r="C23" s="41" t="inlineStr">
        <is>
          <t>up</t>
        </is>
      </c>
      <c r="D23" s="41" t="n">
        <v>30</v>
      </c>
      <c r="E23" s="48" t="n">
        <v>29.7</v>
      </c>
      <c r="F23" s="49" t="inlineStr">
        <is>
          <t>—</t>
        </is>
      </c>
      <c r="G23" s="50">
        <f>IF(ISNUMBER(E23),E23-IF(ISNUMBER(F23),F23,0),"")</f>
        <v/>
      </c>
      <c r="H23" s="51" t="n">
        <v>29.79</v>
      </c>
      <c r="I23" s="50">
        <f>IF(AND(ISNUMBER(G23),ISNUMBER(H23)),H23-G23,"")</f>
        <v/>
      </c>
      <c r="J23" s="50">
        <f>IF(ISNUMBER(I23),ABS(I23),"")</f>
        <v/>
      </c>
      <c r="K23" s="52">
        <f>IF(ISNUMBER(I23),I23^2,"")</f>
        <v/>
      </c>
      <c r="L23" s="31" t="inlineStr">
        <is>
          <t>hunted; touched to settle</t>
        </is>
      </c>
    </row>
    <row r="24" ht="15" customHeight="1" s="32">
      <c r="A24" s="41" t="inlineStr">
        <is>
          <t>base</t>
        </is>
      </c>
      <c r="B24" s="41" t="n">
        <v>1</v>
      </c>
      <c r="C24" s="41" t="inlineStr">
        <is>
          <t>up</t>
        </is>
      </c>
      <c r="D24" s="41" t="n">
        <v>40</v>
      </c>
      <c r="E24" s="48" t="n">
        <v>40.2</v>
      </c>
      <c r="F24" s="49" t="inlineStr">
        <is>
          <t>—</t>
        </is>
      </c>
      <c r="G24" s="50">
        <f>IF(ISNUMBER(E24),E24-IF(ISNUMBER(F24),F24,0),"")</f>
        <v/>
      </c>
      <c r="H24" s="51" t="n">
        <v>40.08</v>
      </c>
      <c r="I24" s="50">
        <f>IF(AND(ISNUMBER(G24),ISNUMBER(H24)),H24-G24,"")</f>
        <v/>
      </c>
      <c r="J24" s="50">
        <f>IF(ISNUMBER(I24),ABS(I24),"")</f>
        <v/>
      </c>
      <c r="K24" s="52">
        <f>IF(ISNUMBER(I24),I24^2,"")</f>
        <v/>
      </c>
    </row>
    <row r="25" ht="15" customHeight="1" s="32">
      <c r="A25" s="41" t="inlineStr">
        <is>
          <t>base</t>
        </is>
      </c>
      <c r="B25" s="41" t="n">
        <v>1</v>
      </c>
      <c r="C25" s="41" t="inlineStr">
        <is>
          <t>up</t>
        </is>
      </c>
      <c r="D25" s="41" t="n">
        <v>50</v>
      </c>
      <c r="E25" s="48" t="n">
        <v>49.8</v>
      </c>
      <c r="F25" s="49" t="inlineStr">
        <is>
          <t>—</t>
        </is>
      </c>
      <c r="G25" s="50">
        <f>IF(ISNUMBER(E25),E25-IF(ISNUMBER(F25),F25,0),"")</f>
        <v/>
      </c>
      <c r="H25" s="51" t="n">
        <v>50.01</v>
      </c>
      <c r="I25" s="50">
        <f>IF(AND(ISNUMBER(G25),ISNUMBER(H25)),H25-G25,"")</f>
        <v/>
      </c>
      <c r="J25" s="50">
        <f>IF(ISNUMBER(I25),ABS(I25),"")</f>
        <v/>
      </c>
      <c r="K25" s="52">
        <f>IF(ISNUMBER(I25),I25^2,"")</f>
        <v/>
      </c>
    </row>
    <row r="26" ht="15" customHeight="1" s="32">
      <c r="A26" s="41" t="inlineStr">
        <is>
          <t>base</t>
        </is>
      </c>
      <c r="B26" s="41" t="n">
        <v>1</v>
      </c>
      <c r="C26" s="41" t="inlineStr">
        <is>
          <t>up</t>
        </is>
      </c>
      <c r="D26" s="41" t="n">
        <v>60</v>
      </c>
      <c r="E26" s="48" t="n">
        <v>60.1</v>
      </c>
      <c r="F26" s="49" t="inlineStr">
        <is>
          <t>—</t>
        </is>
      </c>
      <c r="G26" s="50">
        <f>IF(ISNUMBER(E26),E26-IF(ISNUMBER(F26),F26,0),"")</f>
        <v/>
      </c>
      <c r="H26" s="51" t="n">
        <v>60.03</v>
      </c>
      <c r="I26" s="50">
        <f>IF(AND(ISNUMBER(G26),ISNUMBER(H26)),H26-G26,"")</f>
        <v/>
      </c>
      <c r="J26" s="50">
        <f>IF(ISNUMBER(I26),ABS(I26),"")</f>
        <v/>
      </c>
      <c r="K26" s="52">
        <f>IF(ISNUMBER(I26),I26^2,"")</f>
        <v/>
      </c>
    </row>
    <row r="27" ht="15" customHeight="1" s="32">
      <c r="A27" s="41" t="inlineStr">
        <is>
          <t>base</t>
        </is>
      </c>
      <c r="B27" s="41" t="n">
        <v>1</v>
      </c>
      <c r="C27" s="41" t="inlineStr">
        <is>
          <t>down</t>
        </is>
      </c>
      <c r="D27" s="41" t="n">
        <v>60</v>
      </c>
      <c r="E27" s="48" t="n"/>
      <c r="F27" s="49" t="inlineStr">
        <is>
          <t>—</t>
        </is>
      </c>
      <c r="G27" s="50">
        <f>IF(ISNUMBER(E27),E27-IF(ISNUMBER(F27),F27,0),"")</f>
        <v/>
      </c>
      <c r="H27" s="51" t="n"/>
      <c r="I27" s="50">
        <f>IF(AND(ISNUMBER(G27),ISNUMBER(H27)),H27-G27,"")</f>
        <v/>
      </c>
      <c r="J27" s="50">
        <f>IF(ISNUMBER(I27),ABS(I27),"")</f>
        <v/>
      </c>
      <c r="K27" s="52">
        <f>IF(ISNUMBER(I27),I27^2,"")</f>
        <v/>
      </c>
    </row>
    <row r="28" ht="15" customHeight="1" s="32">
      <c r="A28" s="41" t="inlineStr">
        <is>
          <t>base</t>
        </is>
      </c>
      <c r="B28" s="41" t="n">
        <v>1</v>
      </c>
      <c r="C28" s="41" t="inlineStr">
        <is>
          <t>down</t>
        </is>
      </c>
      <c r="D28" s="41" t="n">
        <v>50</v>
      </c>
      <c r="E28" s="48" t="n"/>
      <c r="F28" s="49" t="inlineStr">
        <is>
          <t>—</t>
        </is>
      </c>
      <c r="G28" s="50">
        <f>IF(ISNUMBER(E28),E28-IF(ISNUMBER(F28),F28,0),"")</f>
        <v/>
      </c>
      <c r="H28" s="51" t="n"/>
      <c r="I28" s="50">
        <f>IF(AND(ISNUMBER(G28),ISNUMBER(H28)),H28-G28,"")</f>
        <v/>
      </c>
      <c r="J28" s="50">
        <f>IF(ISNUMBER(I28),ABS(I28),"")</f>
        <v/>
      </c>
      <c r="K28" s="52">
        <f>IF(ISNUMBER(I28),I28^2,"")</f>
        <v/>
      </c>
    </row>
    <row r="29" ht="15" customHeight="1" s="32">
      <c r="A29" s="41" t="inlineStr">
        <is>
          <t>base</t>
        </is>
      </c>
      <c r="B29" s="41" t="n">
        <v>1</v>
      </c>
      <c r="C29" s="41" t="inlineStr">
        <is>
          <t>down</t>
        </is>
      </c>
      <c r="D29" s="41" t="n">
        <v>40</v>
      </c>
      <c r="E29" s="48" t="n"/>
      <c r="F29" s="49" t="inlineStr">
        <is>
          <t>—</t>
        </is>
      </c>
      <c r="G29" s="50">
        <f>IF(ISNUMBER(E29),E29-IF(ISNUMBER(F29),F29,0),"")</f>
        <v/>
      </c>
      <c r="H29" s="51" t="n"/>
      <c r="I29" s="50">
        <f>IF(AND(ISNUMBER(G29),ISNUMBER(H29)),H29-G29,"")</f>
        <v/>
      </c>
      <c r="J29" s="50">
        <f>IF(ISNUMBER(I29),ABS(I29),"")</f>
        <v/>
      </c>
      <c r="K29" s="52">
        <f>IF(ISNUMBER(I29),I29^2,"")</f>
        <v/>
      </c>
    </row>
    <row r="30" ht="15" customHeight="1" s="32">
      <c r="A30" s="41" t="inlineStr">
        <is>
          <t>base</t>
        </is>
      </c>
      <c r="B30" s="41" t="n">
        <v>1</v>
      </c>
      <c r="C30" s="41" t="inlineStr">
        <is>
          <t>down</t>
        </is>
      </c>
      <c r="D30" s="41" t="n">
        <v>30</v>
      </c>
      <c r="E30" s="48" t="n"/>
      <c r="F30" s="49" t="inlineStr">
        <is>
          <t>—</t>
        </is>
      </c>
      <c r="G30" s="50">
        <f>IF(ISNUMBER(E30),E30-IF(ISNUMBER(F30),F30,0),"")</f>
        <v/>
      </c>
      <c r="H30" s="51" t="n"/>
      <c r="I30" s="50">
        <f>IF(AND(ISNUMBER(G30),ISNUMBER(H30)),H30-G30,"")</f>
        <v/>
      </c>
      <c r="J30" s="50">
        <f>IF(ISNUMBER(I30),ABS(I30),"")</f>
        <v/>
      </c>
      <c r="K30" s="52">
        <f>IF(ISNUMBER(I30),I30^2,"")</f>
        <v/>
      </c>
    </row>
    <row r="31" ht="15" customHeight="1" s="32">
      <c r="A31" s="41" t="inlineStr">
        <is>
          <t>base</t>
        </is>
      </c>
      <c r="B31" s="41" t="n">
        <v>1</v>
      </c>
      <c r="C31" s="41" t="inlineStr">
        <is>
          <t>down</t>
        </is>
      </c>
      <c r="D31" s="41" t="n">
        <v>20</v>
      </c>
      <c r="E31" s="48" t="n"/>
      <c r="F31" s="49" t="inlineStr">
        <is>
          <t>—</t>
        </is>
      </c>
      <c r="G31" s="50">
        <f>IF(ISNUMBER(E31),E31-IF(ISNUMBER(F31),F31,0),"")</f>
        <v/>
      </c>
      <c r="H31" s="51" t="n"/>
      <c r="I31" s="50">
        <f>IF(AND(ISNUMBER(G31),ISNUMBER(H31)),H31-G31,"")</f>
        <v/>
      </c>
      <c r="J31" s="50">
        <f>IF(ISNUMBER(I31),ABS(I31),"")</f>
        <v/>
      </c>
      <c r="K31" s="52">
        <f>IF(ISNUMBER(I31),I31^2,"")</f>
        <v/>
      </c>
    </row>
    <row r="32" ht="15" customHeight="1" s="32">
      <c r="A32" s="41" t="inlineStr">
        <is>
          <t>base</t>
        </is>
      </c>
      <c r="B32" s="41" t="n">
        <v>1</v>
      </c>
      <c r="C32" s="41" t="inlineStr">
        <is>
          <t>down</t>
        </is>
      </c>
      <c r="D32" s="41" t="n">
        <v>10</v>
      </c>
      <c r="E32" s="48" t="n"/>
      <c r="F32" s="49" t="inlineStr">
        <is>
          <t>—</t>
        </is>
      </c>
      <c r="G32" s="50">
        <f>IF(ISNUMBER(E32),E32-IF(ISNUMBER(F32),F32,0),"")</f>
        <v/>
      </c>
      <c r="H32" s="51" t="n"/>
      <c r="I32" s="50">
        <f>IF(AND(ISNUMBER(G32),ISNUMBER(H32)),H32-G32,"")</f>
        <v/>
      </c>
      <c r="J32" s="50">
        <f>IF(ISNUMBER(I32),ABS(I32),"")</f>
        <v/>
      </c>
      <c r="K32" s="52">
        <f>IF(ISNUMBER(I32),I32^2,"")</f>
        <v/>
      </c>
    </row>
    <row r="33" ht="15" customHeight="1" s="32">
      <c r="A33" s="41" t="inlineStr">
        <is>
          <t>base</t>
        </is>
      </c>
      <c r="B33" s="41" t="n">
        <v>1</v>
      </c>
      <c r="C33" s="41" t="inlineStr">
        <is>
          <t>down</t>
        </is>
      </c>
      <c r="D33" s="41" t="n">
        <v>0</v>
      </c>
      <c r="E33" s="48" t="n"/>
      <c r="F33" s="49" t="inlineStr">
        <is>
          <t>—</t>
        </is>
      </c>
      <c r="G33" s="50">
        <f>IF(ISNUMBER(E33),E33-IF(ISNUMBER(F33),F33,0),"")</f>
        <v/>
      </c>
      <c r="H33" s="51" t="n"/>
      <c r="I33" s="50">
        <f>IF(AND(ISNUMBER(G33),ISNUMBER(H33)),H33-G33,"")</f>
        <v/>
      </c>
      <c r="J33" s="50">
        <f>IF(ISNUMBER(I33),ABS(I33),"")</f>
        <v/>
      </c>
      <c r="K33" s="52">
        <f>IF(ISNUMBER(I33),I33^2,"")</f>
        <v/>
      </c>
    </row>
    <row r="34" ht="15" customHeight="1" s="32">
      <c r="A34" s="41" t="inlineStr">
        <is>
          <t>base</t>
        </is>
      </c>
      <c r="B34" s="41" t="n">
        <v>1</v>
      </c>
      <c r="C34" s="41" t="inlineStr">
        <is>
          <t>down</t>
        </is>
      </c>
      <c r="D34" s="41" t="n">
        <v>-10</v>
      </c>
      <c r="E34" s="48" t="n"/>
      <c r="F34" s="49" t="inlineStr">
        <is>
          <t>—</t>
        </is>
      </c>
      <c r="G34" s="50">
        <f>IF(ISNUMBER(E34),E34-IF(ISNUMBER(F34),F34,0),"")</f>
        <v/>
      </c>
      <c r="H34" s="51" t="n"/>
      <c r="I34" s="50">
        <f>IF(AND(ISNUMBER(G34),ISNUMBER(H34)),H34-G34,"")</f>
        <v/>
      </c>
      <c r="J34" s="50">
        <f>IF(ISNUMBER(I34),ABS(I34),"")</f>
        <v/>
      </c>
      <c r="K34" s="52">
        <f>IF(ISNUMBER(I34),I34^2,"")</f>
        <v/>
      </c>
    </row>
    <row r="35" ht="15" customHeight="1" s="32">
      <c r="A35" s="41" t="inlineStr">
        <is>
          <t>base</t>
        </is>
      </c>
      <c r="B35" s="41" t="n">
        <v>1</v>
      </c>
      <c r="C35" s="41" t="inlineStr">
        <is>
          <t>down</t>
        </is>
      </c>
      <c r="D35" s="41" t="n">
        <v>-20</v>
      </c>
      <c r="E35" s="48" t="n"/>
      <c r="F35" s="49" t="inlineStr">
        <is>
          <t>—</t>
        </is>
      </c>
      <c r="G35" s="50">
        <f>IF(ISNUMBER(E35),E35-IF(ISNUMBER(F35),F35,0),"")</f>
        <v/>
      </c>
      <c r="H35" s="51" t="n"/>
      <c r="I35" s="50">
        <f>IF(AND(ISNUMBER(G35),ISNUMBER(H35)),H35-G35,"")</f>
        <v/>
      </c>
      <c r="J35" s="50">
        <f>IF(ISNUMBER(I35),ABS(I35),"")</f>
        <v/>
      </c>
      <c r="K35" s="52">
        <f>IF(ISNUMBER(I35),I35^2,"")</f>
        <v/>
      </c>
    </row>
    <row r="36" ht="15" customHeight="1" s="32">
      <c r="A36" s="41" t="inlineStr">
        <is>
          <t>base</t>
        </is>
      </c>
      <c r="B36" s="41" t="n">
        <v>1</v>
      </c>
      <c r="C36" s="41" t="inlineStr">
        <is>
          <t>down</t>
        </is>
      </c>
      <c r="D36" s="41" t="n">
        <v>-30</v>
      </c>
      <c r="E36" s="48" t="n"/>
      <c r="F36" s="49" t="inlineStr">
        <is>
          <t>—</t>
        </is>
      </c>
      <c r="G36" s="50">
        <f>IF(ISNUMBER(E36),E36-IF(ISNUMBER(F36),F36,0),"")</f>
        <v/>
      </c>
      <c r="H36" s="51" t="n"/>
      <c r="I36" s="50">
        <f>IF(AND(ISNUMBER(G36),ISNUMBER(H36)),H36-G36,"")</f>
        <v/>
      </c>
      <c r="J36" s="50">
        <f>IF(ISNUMBER(I36),ABS(I36),"")</f>
        <v/>
      </c>
      <c r="K36" s="52">
        <f>IF(ISNUMBER(I36),I36^2,"")</f>
        <v/>
      </c>
    </row>
    <row r="37" ht="15" customHeight="1" s="32">
      <c r="A37" s="41" t="inlineStr">
        <is>
          <t>base</t>
        </is>
      </c>
      <c r="B37" s="41" t="n">
        <v>1</v>
      </c>
      <c r="C37" s="41" t="inlineStr">
        <is>
          <t>down</t>
        </is>
      </c>
      <c r="D37" s="41" t="n">
        <v>-40</v>
      </c>
      <c r="E37" s="48" t="n"/>
      <c r="F37" s="49" t="inlineStr">
        <is>
          <t>—</t>
        </is>
      </c>
      <c r="G37" s="50">
        <f>IF(ISNUMBER(E37),E37-IF(ISNUMBER(F37),F37,0),"")</f>
        <v/>
      </c>
      <c r="H37" s="51" t="n"/>
      <c r="I37" s="50">
        <f>IF(AND(ISNUMBER(G37),ISNUMBER(H37)),H37-G37,"")</f>
        <v/>
      </c>
      <c r="J37" s="50">
        <f>IF(ISNUMBER(I37),ABS(I37),"")</f>
        <v/>
      </c>
      <c r="K37" s="52">
        <f>IF(ISNUMBER(I37),I37^2,"")</f>
        <v/>
      </c>
    </row>
    <row r="38" ht="15" customHeight="1" s="32">
      <c r="A38" s="41" t="inlineStr">
        <is>
          <t>base</t>
        </is>
      </c>
      <c r="B38" s="41" t="n">
        <v>1</v>
      </c>
      <c r="C38" s="41" t="inlineStr">
        <is>
          <t>down</t>
        </is>
      </c>
      <c r="D38" s="41" t="n">
        <v>-50</v>
      </c>
      <c r="E38" s="48" t="n"/>
      <c r="F38" s="49" t="inlineStr">
        <is>
          <t>—</t>
        </is>
      </c>
      <c r="G38" s="50">
        <f>IF(ISNUMBER(E38),E38-IF(ISNUMBER(F38),F38,0),"")</f>
        <v/>
      </c>
      <c r="H38" s="51" t="n"/>
      <c r="I38" s="50">
        <f>IF(AND(ISNUMBER(G38),ISNUMBER(H38)),H38-G38,"")</f>
        <v/>
      </c>
      <c r="J38" s="50">
        <f>IF(ISNUMBER(I38),ABS(I38),"")</f>
        <v/>
      </c>
      <c r="K38" s="52">
        <f>IF(ISNUMBER(I38),I38^2,"")</f>
        <v/>
      </c>
    </row>
    <row r="39" ht="15" customHeight="1" s="32">
      <c r="A39" s="41" t="inlineStr">
        <is>
          <t>base</t>
        </is>
      </c>
      <c r="B39" s="41" t="n">
        <v>1</v>
      </c>
      <c r="C39" s="41" t="inlineStr">
        <is>
          <t>down</t>
        </is>
      </c>
      <c r="D39" s="41" t="n">
        <v>-60</v>
      </c>
      <c r="E39" s="48" t="n"/>
      <c r="F39" s="49" t="inlineStr">
        <is>
          <t>—</t>
        </is>
      </c>
      <c r="G39" s="50">
        <f>IF(ISNUMBER(E39),E39-IF(ISNUMBER(F39),F39,0),"")</f>
        <v/>
      </c>
      <c r="H39" s="51" t="n"/>
      <c r="I39" s="50">
        <f>IF(AND(ISNUMBER(G39),ISNUMBER(H39)),H39-G39,"")</f>
        <v/>
      </c>
      <c r="J39" s="50">
        <f>IF(ISNUMBER(I39),ABS(I39),"")</f>
        <v/>
      </c>
      <c r="K39" s="52">
        <f>IF(ISNUMBER(I39),I39^2,"")</f>
        <v/>
      </c>
    </row>
    <row r="40" ht="15" customHeight="1" s="32">
      <c r="A40" s="41" t="inlineStr">
        <is>
          <t>base</t>
        </is>
      </c>
      <c r="B40" s="41" t="n">
        <v>2</v>
      </c>
      <c r="C40" s="41" t="inlineStr">
        <is>
          <t>up</t>
        </is>
      </c>
      <c r="D40" s="41" t="n">
        <v>-60</v>
      </c>
      <c r="E40" s="48" t="n"/>
      <c r="F40" s="49" t="inlineStr">
        <is>
          <t>—</t>
        </is>
      </c>
      <c r="G40" s="50">
        <f>IF(ISNUMBER(E40),E40-IF(ISNUMBER(F40),F40,0),"")</f>
        <v/>
      </c>
      <c r="H40" s="51" t="n"/>
      <c r="I40" s="50">
        <f>IF(AND(ISNUMBER(G40),ISNUMBER(H40)),H40-G40,"")</f>
        <v/>
      </c>
      <c r="J40" s="50">
        <f>IF(ISNUMBER(I40),ABS(I40),"")</f>
        <v/>
      </c>
      <c r="K40" s="52">
        <f>IF(ISNUMBER(I40),I40^2,"")</f>
        <v/>
      </c>
    </row>
    <row r="41" ht="15" customHeight="1" s="32">
      <c r="A41" s="41" t="inlineStr">
        <is>
          <t>base</t>
        </is>
      </c>
      <c r="B41" s="41" t="n">
        <v>2</v>
      </c>
      <c r="C41" s="41" t="inlineStr">
        <is>
          <t>up</t>
        </is>
      </c>
      <c r="D41" s="41" t="n">
        <v>-50</v>
      </c>
      <c r="E41" s="48" t="n"/>
      <c r="F41" s="49" t="inlineStr">
        <is>
          <t>—</t>
        </is>
      </c>
      <c r="G41" s="50">
        <f>IF(ISNUMBER(E41),E41-IF(ISNUMBER(F41),F41,0),"")</f>
        <v/>
      </c>
      <c r="H41" s="51" t="n"/>
      <c r="I41" s="50">
        <f>IF(AND(ISNUMBER(G41),ISNUMBER(H41)),H41-G41,"")</f>
        <v/>
      </c>
      <c r="J41" s="50">
        <f>IF(ISNUMBER(I41),ABS(I41),"")</f>
        <v/>
      </c>
      <c r="K41" s="52">
        <f>IF(ISNUMBER(I41),I41^2,"")</f>
        <v/>
      </c>
    </row>
    <row r="42" ht="15" customHeight="1" s="32">
      <c r="A42" s="41" t="inlineStr">
        <is>
          <t>base</t>
        </is>
      </c>
      <c r="B42" s="41" t="n">
        <v>2</v>
      </c>
      <c r="C42" s="41" t="inlineStr">
        <is>
          <t>up</t>
        </is>
      </c>
      <c r="D42" s="41" t="n">
        <v>-40</v>
      </c>
      <c r="E42" s="48" t="n"/>
      <c r="F42" s="49" t="inlineStr">
        <is>
          <t>—</t>
        </is>
      </c>
      <c r="G42" s="50">
        <f>IF(ISNUMBER(E42),E42-IF(ISNUMBER(F42),F42,0),"")</f>
        <v/>
      </c>
      <c r="H42" s="51" t="n"/>
      <c r="I42" s="50">
        <f>IF(AND(ISNUMBER(G42),ISNUMBER(H42)),H42-G42,"")</f>
        <v/>
      </c>
      <c r="J42" s="50">
        <f>IF(ISNUMBER(I42),ABS(I42),"")</f>
        <v/>
      </c>
      <c r="K42" s="52">
        <f>IF(ISNUMBER(I42),I42^2,"")</f>
        <v/>
      </c>
    </row>
    <row r="43" ht="15" customHeight="1" s="32">
      <c r="A43" s="41" t="inlineStr">
        <is>
          <t>base</t>
        </is>
      </c>
      <c r="B43" s="41" t="n">
        <v>2</v>
      </c>
      <c r="C43" s="41" t="inlineStr">
        <is>
          <t>up</t>
        </is>
      </c>
      <c r="D43" s="41" t="n">
        <v>-30</v>
      </c>
      <c r="E43" s="48" t="n"/>
      <c r="F43" s="49" t="inlineStr">
        <is>
          <t>—</t>
        </is>
      </c>
      <c r="G43" s="50">
        <f>IF(ISNUMBER(E43),E43-IF(ISNUMBER(F43),F43,0),"")</f>
        <v/>
      </c>
      <c r="H43" s="51" t="n"/>
      <c r="I43" s="50">
        <f>IF(AND(ISNUMBER(G43),ISNUMBER(H43)),H43-G43,"")</f>
        <v/>
      </c>
      <c r="J43" s="50">
        <f>IF(ISNUMBER(I43),ABS(I43),"")</f>
        <v/>
      </c>
      <c r="K43" s="52">
        <f>IF(ISNUMBER(I43),I43^2,"")</f>
        <v/>
      </c>
    </row>
    <row r="44" ht="15" customHeight="1" s="32">
      <c r="A44" s="41" t="inlineStr">
        <is>
          <t>base</t>
        </is>
      </c>
      <c r="B44" s="41" t="n">
        <v>2</v>
      </c>
      <c r="C44" s="41" t="inlineStr">
        <is>
          <t>up</t>
        </is>
      </c>
      <c r="D44" s="41" t="n">
        <v>-20</v>
      </c>
      <c r="E44" s="48" t="n"/>
      <c r="F44" s="49" t="inlineStr">
        <is>
          <t>—</t>
        </is>
      </c>
      <c r="G44" s="50">
        <f>IF(ISNUMBER(E44),E44-IF(ISNUMBER(F44),F44,0),"")</f>
        <v/>
      </c>
      <c r="H44" s="51" t="n"/>
      <c r="I44" s="50">
        <f>IF(AND(ISNUMBER(G44),ISNUMBER(H44)),H44-G44,"")</f>
        <v/>
      </c>
      <c r="J44" s="50">
        <f>IF(ISNUMBER(I44),ABS(I44),"")</f>
        <v/>
      </c>
      <c r="K44" s="52">
        <f>IF(ISNUMBER(I44),I44^2,"")</f>
        <v/>
      </c>
    </row>
    <row r="45" ht="15" customHeight="1" s="32">
      <c r="A45" s="41" t="inlineStr">
        <is>
          <t>base</t>
        </is>
      </c>
      <c r="B45" s="41" t="n">
        <v>2</v>
      </c>
      <c r="C45" s="41" t="inlineStr">
        <is>
          <t>up</t>
        </is>
      </c>
      <c r="D45" s="41" t="n">
        <v>-10</v>
      </c>
      <c r="E45" s="48" t="n"/>
      <c r="F45" s="49" t="inlineStr">
        <is>
          <t>—</t>
        </is>
      </c>
      <c r="G45" s="50">
        <f>IF(ISNUMBER(E45),E45-IF(ISNUMBER(F45),F45,0),"")</f>
        <v/>
      </c>
      <c r="H45" s="51" t="n"/>
      <c r="I45" s="50">
        <f>IF(AND(ISNUMBER(G45),ISNUMBER(H45)),H45-G45,"")</f>
        <v/>
      </c>
      <c r="J45" s="50">
        <f>IF(ISNUMBER(I45),ABS(I45),"")</f>
        <v/>
      </c>
      <c r="K45" s="52">
        <f>IF(ISNUMBER(I45),I45^2,"")</f>
        <v/>
      </c>
    </row>
    <row r="46" ht="15" customHeight="1" s="32">
      <c r="A46" s="41" t="inlineStr">
        <is>
          <t>base</t>
        </is>
      </c>
      <c r="B46" s="41" t="n">
        <v>2</v>
      </c>
      <c r="C46" s="41" t="inlineStr">
        <is>
          <t>up</t>
        </is>
      </c>
      <c r="D46" s="41" t="n">
        <v>0</v>
      </c>
      <c r="E46" s="48" t="n"/>
      <c r="F46" s="49" t="inlineStr">
        <is>
          <t>—</t>
        </is>
      </c>
      <c r="G46" s="50">
        <f>IF(ISNUMBER(E46),E46-IF(ISNUMBER(F46),F46,0),"")</f>
        <v/>
      </c>
      <c r="H46" s="51" t="n"/>
      <c r="I46" s="50">
        <f>IF(AND(ISNUMBER(G46),ISNUMBER(H46)),H46-G46,"")</f>
        <v/>
      </c>
      <c r="J46" s="50">
        <f>IF(ISNUMBER(I46),ABS(I46),"")</f>
        <v/>
      </c>
      <c r="K46" s="52">
        <f>IF(ISNUMBER(I46),I46^2,"")</f>
        <v/>
      </c>
    </row>
    <row r="47" ht="15" customHeight="1" s="32">
      <c r="A47" s="41" t="inlineStr">
        <is>
          <t>base</t>
        </is>
      </c>
      <c r="B47" s="41" t="n">
        <v>2</v>
      </c>
      <c r="C47" s="41" t="inlineStr">
        <is>
          <t>up</t>
        </is>
      </c>
      <c r="D47" s="41" t="n">
        <v>10</v>
      </c>
      <c r="E47" s="48" t="n"/>
      <c r="F47" s="49" t="inlineStr">
        <is>
          <t>—</t>
        </is>
      </c>
      <c r="G47" s="50">
        <f>IF(ISNUMBER(E47),E47-IF(ISNUMBER(F47),F47,0),"")</f>
        <v/>
      </c>
      <c r="H47" s="51" t="n"/>
      <c r="I47" s="50">
        <f>IF(AND(ISNUMBER(G47),ISNUMBER(H47)),H47-G47,"")</f>
        <v/>
      </c>
      <c r="J47" s="50">
        <f>IF(ISNUMBER(I47),ABS(I47),"")</f>
        <v/>
      </c>
      <c r="K47" s="52">
        <f>IF(ISNUMBER(I47),I47^2,"")</f>
        <v/>
      </c>
    </row>
    <row r="48" ht="15" customHeight="1" s="32">
      <c r="A48" s="41" t="inlineStr">
        <is>
          <t>base</t>
        </is>
      </c>
      <c r="B48" s="41" t="n">
        <v>2</v>
      </c>
      <c r="C48" s="41" t="inlineStr">
        <is>
          <t>up</t>
        </is>
      </c>
      <c r="D48" s="41" t="n">
        <v>20</v>
      </c>
      <c r="E48" s="48" t="n"/>
      <c r="F48" s="49" t="inlineStr">
        <is>
          <t>—</t>
        </is>
      </c>
      <c r="G48" s="50">
        <f>IF(ISNUMBER(E48),E48-IF(ISNUMBER(F48),F48,0),"")</f>
        <v/>
      </c>
      <c r="H48" s="51" t="n"/>
      <c r="I48" s="50">
        <f>IF(AND(ISNUMBER(G48),ISNUMBER(H48)),H48-G48,"")</f>
        <v/>
      </c>
      <c r="J48" s="50">
        <f>IF(ISNUMBER(I48),ABS(I48),"")</f>
        <v/>
      </c>
      <c r="K48" s="52">
        <f>IF(ISNUMBER(I48),I48^2,"")</f>
        <v/>
      </c>
    </row>
    <row r="49" ht="15" customHeight="1" s="32">
      <c r="A49" s="41" t="inlineStr">
        <is>
          <t>base</t>
        </is>
      </c>
      <c r="B49" s="41" t="n">
        <v>2</v>
      </c>
      <c r="C49" s="41" t="inlineStr">
        <is>
          <t>up</t>
        </is>
      </c>
      <c r="D49" s="41" t="n">
        <v>30</v>
      </c>
      <c r="E49" s="48" t="n"/>
      <c r="F49" s="49" t="inlineStr">
        <is>
          <t>—</t>
        </is>
      </c>
      <c r="G49" s="50">
        <f>IF(ISNUMBER(E49),E49-IF(ISNUMBER(F49),F49,0),"")</f>
        <v/>
      </c>
      <c r="H49" s="51" t="n"/>
      <c r="I49" s="50">
        <f>IF(AND(ISNUMBER(G49),ISNUMBER(H49)),H49-G49,"")</f>
        <v/>
      </c>
      <c r="J49" s="50">
        <f>IF(ISNUMBER(I49),ABS(I49),"")</f>
        <v/>
      </c>
      <c r="K49" s="52">
        <f>IF(ISNUMBER(I49),I49^2,"")</f>
        <v/>
      </c>
    </row>
    <row r="50" ht="15" customHeight="1" s="32">
      <c r="A50" s="41" t="inlineStr">
        <is>
          <t>base</t>
        </is>
      </c>
      <c r="B50" s="41" t="n">
        <v>2</v>
      </c>
      <c r="C50" s="41" t="inlineStr">
        <is>
          <t>up</t>
        </is>
      </c>
      <c r="D50" s="41" t="n">
        <v>40</v>
      </c>
      <c r="E50" s="48" t="n"/>
      <c r="F50" s="49" t="inlineStr">
        <is>
          <t>—</t>
        </is>
      </c>
      <c r="G50" s="50">
        <f>IF(ISNUMBER(E50),E50-IF(ISNUMBER(F50),F50,0),"")</f>
        <v/>
      </c>
      <c r="H50" s="51" t="n"/>
      <c r="I50" s="50">
        <f>IF(AND(ISNUMBER(G50),ISNUMBER(H50)),H50-G50,"")</f>
        <v/>
      </c>
      <c r="J50" s="50">
        <f>IF(ISNUMBER(I50),ABS(I50),"")</f>
        <v/>
      </c>
      <c r="K50" s="52">
        <f>IF(ISNUMBER(I50),I50^2,"")</f>
        <v/>
      </c>
    </row>
    <row r="51" ht="15" customHeight="1" s="32">
      <c r="A51" s="41" t="inlineStr">
        <is>
          <t>base</t>
        </is>
      </c>
      <c r="B51" s="41" t="n">
        <v>2</v>
      </c>
      <c r="C51" s="41" t="inlineStr">
        <is>
          <t>up</t>
        </is>
      </c>
      <c r="D51" s="41" t="n">
        <v>50</v>
      </c>
      <c r="E51" s="48" t="n"/>
      <c r="F51" s="49" t="inlineStr">
        <is>
          <t>—</t>
        </is>
      </c>
      <c r="G51" s="50">
        <f>IF(ISNUMBER(E51),E51-IF(ISNUMBER(F51),F51,0),"")</f>
        <v/>
      </c>
      <c r="H51" s="51" t="n"/>
      <c r="I51" s="50">
        <f>IF(AND(ISNUMBER(G51),ISNUMBER(H51)),H51-G51,"")</f>
        <v/>
      </c>
      <c r="J51" s="50">
        <f>IF(ISNUMBER(I51),ABS(I51),"")</f>
        <v/>
      </c>
      <c r="K51" s="52">
        <f>IF(ISNUMBER(I51),I51^2,"")</f>
        <v/>
      </c>
    </row>
    <row r="52" ht="15" customHeight="1" s="32">
      <c r="A52" s="41" t="inlineStr">
        <is>
          <t>base</t>
        </is>
      </c>
      <c r="B52" s="41" t="n">
        <v>2</v>
      </c>
      <c r="C52" s="41" t="inlineStr">
        <is>
          <t>up</t>
        </is>
      </c>
      <c r="D52" s="41" t="n">
        <v>60</v>
      </c>
      <c r="E52" s="48" t="n"/>
      <c r="F52" s="49" t="inlineStr">
        <is>
          <t>—</t>
        </is>
      </c>
      <c r="G52" s="50">
        <f>IF(ISNUMBER(E52),E52-IF(ISNUMBER(F52),F52,0),"")</f>
        <v/>
      </c>
      <c r="H52" s="51" t="n"/>
      <c r="I52" s="50">
        <f>IF(AND(ISNUMBER(G52),ISNUMBER(H52)),H52-G52,"")</f>
        <v/>
      </c>
      <c r="J52" s="50">
        <f>IF(ISNUMBER(I52),ABS(I52),"")</f>
        <v/>
      </c>
      <c r="K52" s="52">
        <f>IF(ISNUMBER(I52),I52^2,"")</f>
        <v/>
      </c>
    </row>
    <row r="53" ht="15" customHeight="1" s="32">
      <c r="A53" s="41" t="inlineStr">
        <is>
          <t>base</t>
        </is>
      </c>
      <c r="B53" s="41" t="n">
        <v>2</v>
      </c>
      <c r="C53" s="41" t="inlineStr">
        <is>
          <t>down</t>
        </is>
      </c>
      <c r="D53" s="41" t="n">
        <v>60</v>
      </c>
      <c r="E53" s="48" t="n"/>
      <c r="F53" s="49" t="inlineStr">
        <is>
          <t>—</t>
        </is>
      </c>
      <c r="G53" s="50">
        <f>IF(ISNUMBER(E53),E53-IF(ISNUMBER(F53),F53,0),"")</f>
        <v/>
      </c>
      <c r="H53" s="51" t="n"/>
      <c r="I53" s="50">
        <f>IF(AND(ISNUMBER(G53),ISNUMBER(H53)),H53-G53,"")</f>
        <v/>
      </c>
      <c r="J53" s="50">
        <f>IF(ISNUMBER(I53),ABS(I53),"")</f>
        <v/>
      </c>
      <c r="K53" s="52">
        <f>IF(ISNUMBER(I53),I53^2,"")</f>
        <v/>
      </c>
    </row>
    <row r="54" ht="15" customHeight="1" s="32">
      <c r="A54" s="41" t="inlineStr">
        <is>
          <t>base</t>
        </is>
      </c>
      <c r="B54" s="41" t="n">
        <v>2</v>
      </c>
      <c r="C54" s="41" t="inlineStr">
        <is>
          <t>down</t>
        </is>
      </c>
      <c r="D54" s="41" t="n">
        <v>50</v>
      </c>
      <c r="E54" s="48" t="n"/>
      <c r="F54" s="49" t="inlineStr">
        <is>
          <t>—</t>
        </is>
      </c>
      <c r="G54" s="50">
        <f>IF(ISNUMBER(E54),E54-IF(ISNUMBER(F54),F54,0),"")</f>
        <v/>
      </c>
      <c r="H54" s="51" t="n"/>
      <c r="I54" s="50">
        <f>IF(AND(ISNUMBER(G54),ISNUMBER(H54)),H54-G54,"")</f>
        <v/>
      </c>
      <c r="J54" s="50">
        <f>IF(ISNUMBER(I54),ABS(I54),"")</f>
        <v/>
      </c>
      <c r="K54" s="52">
        <f>IF(ISNUMBER(I54),I54^2,"")</f>
        <v/>
      </c>
    </row>
    <row r="55" ht="15" customHeight="1" s="32">
      <c r="A55" s="41" t="inlineStr">
        <is>
          <t>base</t>
        </is>
      </c>
      <c r="B55" s="41" t="n">
        <v>2</v>
      </c>
      <c r="C55" s="41" t="inlineStr">
        <is>
          <t>down</t>
        </is>
      </c>
      <c r="D55" s="41" t="n">
        <v>40</v>
      </c>
      <c r="E55" s="48" t="n"/>
      <c r="F55" s="49" t="inlineStr">
        <is>
          <t>—</t>
        </is>
      </c>
      <c r="G55" s="50">
        <f>IF(ISNUMBER(E55),E55-IF(ISNUMBER(F55),F55,0),"")</f>
        <v/>
      </c>
      <c r="H55" s="51" t="n"/>
      <c r="I55" s="50">
        <f>IF(AND(ISNUMBER(G55),ISNUMBER(H55)),H55-G55,"")</f>
        <v/>
      </c>
      <c r="J55" s="50">
        <f>IF(ISNUMBER(I55),ABS(I55),"")</f>
        <v/>
      </c>
      <c r="K55" s="52">
        <f>IF(ISNUMBER(I55),I55^2,"")</f>
        <v/>
      </c>
    </row>
    <row r="56" ht="15" customHeight="1" s="32">
      <c r="A56" s="41" t="inlineStr">
        <is>
          <t>base</t>
        </is>
      </c>
      <c r="B56" s="41" t="n">
        <v>2</v>
      </c>
      <c r="C56" s="41" t="inlineStr">
        <is>
          <t>down</t>
        </is>
      </c>
      <c r="D56" s="41" t="n">
        <v>30</v>
      </c>
      <c r="E56" s="48" t="n"/>
      <c r="F56" s="49" t="inlineStr">
        <is>
          <t>—</t>
        </is>
      </c>
      <c r="G56" s="50">
        <f>IF(ISNUMBER(E56),E56-IF(ISNUMBER(F56),F56,0),"")</f>
        <v/>
      </c>
      <c r="H56" s="51" t="n"/>
      <c r="I56" s="50">
        <f>IF(AND(ISNUMBER(G56),ISNUMBER(H56)),H56-G56,"")</f>
        <v/>
      </c>
      <c r="J56" s="50">
        <f>IF(ISNUMBER(I56),ABS(I56),"")</f>
        <v/>
      </c>
      <c r="K56" s="52">
        <f>IF(ISNUMBER(I56),I56^2,"")</f>
        <v/>
      </c>
    </row>
    <row r="57" ht="15" customHeight="1" s="32">
      <c r="A57" s="41" t="inlineStr">
        <is>
          <t>base</t>
        </is>
      </c>
      <c r="B57" s="41" t="n">
        <v>2</v>
      </c>
      <c r="C57" s="41" t="inlineStr">
        <is>
          <t>down</t>
        </is>
      </c>
      <c r="D57" s="41" t="n">
        <v>20</v>
      </c>
      <c r="E57" s="48" t="n"/>
      <c r="F57" s="49" t="inlineStr">
        <is>
          <t>—</t>
        </is>
      </c>
      <c r="G57" s="50">
        <f>IF(ISNUMBER(E57),E57-IF(ISNUMBER(F57),F57,0),"")</f>
        <v/>
      </c>
      <c r="H57" s="51" t="n"/>
      <c r="I57" s="50">
        <f>IF(AND(ISNUMBER(G57),ISNUMBER(H57)),H57-G57,"")</f>
        <v/>
      </c>
      <c r="J57" s="50">
        <f>IF(ISNUMBER(I57),ABS(I57),"")</f>
        <v/>
      </c>
      <c r="K57" s="52">
        <f>IF(ISNUMBER(I57),I57^2,"")</f>
        <v/>
      </c>
    </row>
    <row r="58" ht="15" customHeight="1" s="32">
      <c r="A58" s="41" t="inlineStr">
        <is>
          <t>base</t>
        </is>
      </c>
      <c r="B58" s="41" t="n">
        <v>2</v>
      </c>
      <c r="C58" s="41" t="inlineStr">
        <is>
          <t>down</t>
        </is>
      </c>
      <c r="D58" s="41" t="n">
        <v>10</v>
      </c>
      <c r="E58" s="48" t="n"/>
      <c r="F58" s="49" t="inlineStr">
        <is>
          <t>—</t>
        </is>
      </c>
      <c r="G58" s="50">
        <f>IF(ISNUMBER(E58),E58-IF(ISNUMBER(F58),F58,0),"")</f>
        <v/>
      </c>
      <c r="H58" s="51" t="n"/>
      <c r="I58" s="50">
        <f>IF(AND(ISNUMBER(G58),ISNUMBER(H58)),H58-G58,"")</f>
        <v/>
      </c>
      <c r="J58" s="50">
        <f>IF(ISNUMBER(I58),ABS(I58),"")</f>
        <v/>
      </c>
      <c r="K58" s="52">
        <f>IF(ISNUMBER(I58),I58^2,"")</f>
        <v/>
      </c>
    </row>
    <row r="59" ht="15" customHeight="1" s="32">
      <c r="A59" s="41" t="inlineStr">
        <is>
          <t>base</t>
        </is>
      </c>
      <c r="B59" s="41" t="n">
        <v>2</v>
      </c>
      <c r="C59" s="41" t="inlineStr">
        <is>
          <t>down</t>
        </is>
      </c>
      <c r="D59" s="41" t="n">
        <v>0</v>
      </c>
      <c r="E59" s="48" t="n"/>
      <c r="F59" s="49" t="inlineStr">
        <is>
          <t>—</t>
        </is>
      </c>
      <c r="G59" s="50">
        <f>IF(ISNUMBER(E59),E59-IF(ISNUMBER(F59),F59,0),"")</f>
        <v/>
      </c>
      <c r="H59" s="51" t="n"/>
      <c r="I59" s="50">
        <f>IF(AND(ISNUMBER(G59),ISNUMBER(H59)),H59-G59,"")</f>
        <v/>
      </c>
      <c r="J59" s="50">
        <f>IF(ISNUMBER(I59),ABS(I59),"")</f>
        <v/>
      </c>
      <c r="K59" s="52">
        <f>IF(ISNUMBER(I59),I59^2,"")</f>
        <v/>
      </c>
    </row>
    <row r="60" ht="15" customHeight="1" s="32">
      <c r="A60" s="41" t="inlineStr">
        <is>
          <t>base</t>
        </is>
      </c>
      <c r="B60" s="41" t="n">
        <v>2</v>
      </c>
      <c r="C60" s="41" t="inlineStr">
        <is>
          <t>down</t>
        </is>
      </c>
      <c r="D60" s="41" t="n">
        <v>-10</v>
      </c>
      <c r="E60" s="48" t="n"/>
      <c r="F60" s="49" t="inlineStr">
        <is>
          <t>—</t>
        </is>
      </c>
      <c r="G60" s="50">
        <f>IF(ISNUMBER(E60),E60-IF(ISNUMBER(F60),F60,0),"")</f>
        <v/>
      </c>
      <c r="H60" s="51" t="n"/>
      <c r="I60" s="50">
        <f>IF(AND(ISNUMBER(G60),ISNUMBER(H60)),H60-G60,"")</f>
        <v/>
      </c>
      <c r="J60" s="50">
        <f>IF(ISNUMBER(I60),ABS(I60),"")</f>
        <v/>
      </c>
      <c r="K60" s="52">
        <f>IF(ISNUMBER(I60),I60^2,"")</f>
        <v/>
      </c>
    </row>
    <row r="61" ht="15" customHeight="1" s="32">
      <c r="A61" s="41" t="inlineStr">
        <is>
          <t>base</t>
        </is>
      </c>
      <c r="B61" s="41" t="n">
        <v>2</v>
      </c>
      <c r="C61" s="41" t="inlineStr">
        <is>
          <t>down</t>
        </is>
      </c>
      <c r="D61" s="41" t="n">
        <v>-20</v>
      </c>
      <c r="E61" s="48" t="n"/>
      <c r="F61" s="49" t="inlineStr">
        <is>
          <t>—</t>
        </is>
      </c>
      <c r="G61" s="50">
        <f>IF(ISNUMBER(E61),E61-IF(ISNUMBER(F61),F61,0),"")</f>
        <v/>
      </c>
      <c r="H61" s="51" t="n"/>
      <c r="I61" s="50">
        <f>IF(AND(ISNUMBER(G61),ISNUMBER(H61)),H61-G61,"")</f>
        <v/>
      </c>
      <c r="J61" s="50">
        <f>IF(ISNUMBER(I61),ABS(I61),"")</f>
        <v/>
      </c>
      <c r="K61" s="52">
        <f>IF(ISNUMBER(I61),I61^2,"")</f>
        <v/>
      </c>
    </row>
    <row r="62" ht="15" customHeight="1" s="32">
      <c r="A62" s="41" t="inlineStr">
        <is>
          <t>base</t>
        </is>
      </c>
      <c r="B62" s="41" t="n">
        <v>2</v>
      </c>
      <c r="C62" s="41" t="inlineStr">
        <is>
          <t>down</t>
        </is>
      </c>
      <c r="D62" s="41" t="n">
        <v>-30</v>
      </c>
      <c r="E62" s="48" t="n"/>
      <c r="F62" s="49" t="inlineStr">
        <is>
          <t>—</t>
        </is>
      </c>
      <c r="G62" s="50">
        <f>IF(ISNUMBER(E62),E62-IF(ISNUMBER(F62),F62,0),"")</f>
        <v/>
      </c>
      <c r="H62" s="51" t="n"/>
      <c r="I62" s="50">
        <f>IF(AND(ISNUMBER(G62),ISNUMBER(H62)),H62-G62,"")</f>
        <v/>
      </c>
      <c r="J62" s="50">
        <f>IF(ISNUMBER(I62),ABS(I62),"")</f>
        <v/>
      </c>
      <c r="K62" s="52">
        <f>IF(ISNUMBER(I62),I62^2,"")</f>
        <v/>
      </c>
    </row>
    <row r="63" ht="15" customHeight="1" s="32">
      <c r="A63" s="41" t="inlineStr">
        <is>
          <t>base</t>
        </is>
      </c>
      <c r="B63" s="41" t="n">
        <v>2</v>
      </c>
      <c r="C63" s="41" t="inlineStr">
        <is>
          <t>down</t>
        </is>
      </c>
      <c r="D63" s="41" t="n">
        <v>-40</v>
      </c>
      <c r="E63" s="48" t="n"/>
      <c r="F63" s="49" t="inlineStr">
        <is>
          <t>—</t>
        </is>
      </c>
      <c r="G63" s="50">
        <f>IF(ISNUMBER(E63),E63-IF(ISNUMBER(F63),F63,0),"")</f>
        <v/>
      </c>
      <c r="H63" s="51" t="n"/>
      <c r="I63" s="50">
        <f>IF(AND(ISNUMBER(G63),ISNUMBER(H63)),H63-G63,"")</f>
        <v/>
      </c>
      <c r="J63" s="50">
        <f>IF(ISNUMBER(I63),ABS(I63),"")</f>
        <v/>
      </c>
      <c r="K63" s="52">
        <f>IF(ISNUMBER(I63),I63^2,"")</f>
        <v/>
      </c>
    </row>
    <row r="64" ht="15" customHeight="1" s="32">
      <c r="A64" s="41" t="inlineStr">
        <is>
          <t>base</t>
        </is>
      </c>
      <c r="B64" s="41" t="n">
        <v>2</v>
      </c>
      <c r="C64" s="41" t="inlineStr">
        <is>
          <t>down</t>
        </is>
      </c>
      <c r="D64" s="41" t="n">
        <v>-50</v>
      </c>
      <c r="E64" s="48" t="n"/>
      <c r="F64" s="49" t="inlineStr">
        <is>
          <t>—</t>
        </is>
      </c>
      <c r="G64" s="50">
        <f>IF(ISNUMBER(E64),E64-IF(ISNUMBER(F64),F64,0),"")</f>
        <v/>
      </c>
      <c r="H64" s="51" t="n"/>
      <c r="I64" s="50">
        <f>IF(AND(ISNUMBER(G64),ISNUMBER(H64)),H64-G64,"")</f>
        <v/>
      </c>
      <c r="J64" s="50">
        <f>IF(ISNUMBER(I64),ABS(I64),"")</f>
        <v/>
      </c>
      <c r="K64" s="52">
        <f>IF(ISNUMBER(I64),I64^2,"")</f>
        <v/>
      </c>
    </row>
    <row r="65" ht="15" customHeight="1" s="32">
      <c r="A65" s="41" t="inlineStr">
        <is>
          <t>base</t>
        </is>
      </c>
      <c r="B65" s="41" t="n">
        <v>2</v>
      </c>
      <c r="C65" s="41" t="inlineStr">
        <is>
          <t>down</t>
        </is>
      </c>
      <c r="D65" s="41" t="n">
        <v>-60</v>
      </c>
      <c r="E65" s="48" t="n"/>
      <c r="F65" s="49" t="inlineStr">
        <is>
          <t>—</t>
        </is>
      </c>
      <c r="G65" s="50">
        <f>IF(ISNUMBER(E65),E65-IF(ISNUMBER(F65),F65,0),"")</f>
        <v/>
      </c>
      <c r="H65" s="51" t="n"/>
      <c r="I65" s="50">
        <f>IF(AND(ISNUMBER(G65),ISNUMBER(H65)),H65-G65,"")</f>
        <v/>
      </c>
      <c r="J65" s="50">
        <f>IF(ISNUMBER(I65),ABS(I65),"")</f>
        <v/>
      </c>
      <c r="K65" s="52">
        <f>IF(ISNUMBER(I65),I65^2,"")</f>
        <v/>
      </c>
    </row>
    <row r="66" ht="15" customHeight="1" s="32">
      <c r="A66" s="41" t="inlineStr">
        <is>
          <t>base</t>
        </is>
      </c>
      <c r="B66" s="41" t="n">
        <v>3</v>
      </c>
      <c r="C66" s="41" t="inlineStr">
        <is>
          <t>up</t>
        </is>
      </c>
      <c r="D66" s="41" t="n">
        <v>-60</v>
      </c>
      <c r="E66" s="48" t="n"/>
      <c r="F66" s="49" t="inlineStr">
        <is>
          <t>—</t>
        </is>
      </c>
      <c r="G66" s="50">
        <f>IF(ISNUMBER(E66),E66-IF(ISNUMBER(F66),F66,0),"")</f>
        <v/>
      </c>
      <c r="H66" s="51" t="n"/>
      <c r="I66" s="50">
        <f>IF(AND(ISNUMBER(G66),ISNUMBER(H66)),H66-G66,"")</f>
        <v/>
      </c>
      <c r="J66" s="50">
        <f>IF(ISNUMBER(I66),ABS(I66),"")</f>
        <v/>
      </c>
      <c r="K66" s="52">
        <f>IF(ISNUMBER(I66),I66^2,"")</f>
        <v/>
      </c>
    </row>
    <row r="67" ht="15" customHeight="1" s="32">
      <c r="A67" s="41" t="inlineStr">
        <is>
          <t>base</t>
        </is>
      </c>
      <c r="B67" s="41" t="n">
        <v>3</v>
      </c>
      <c r="C67" s="41" t="inlineStr">
        <is>
          <t>up</t>
        </is>
      </c>
      <c r="D67" s="41" t="n">
        <v>-50</v>
      </c>
      <c r="E67" s="48" t="n"/>
      <c r="F67" s="49" t="inlineStr">
        <is>
          <t>—</t>
        </is>
      </c>
      <c r="G67" s="50">
        <f>IF(ISNUMBER(E67),E67-IF(ISNUMBER(F67),F67,0),"")</f>
        <v/>
      </c>
      <c r="H67" s="51" t="n"/>
      <c r="I67" s="50">
        <f>IF(AND(ISNUMBER(G67),ISNUMBER(H67)),H67-G67,"")</f>
        <v/>
      </c>
      <c r="J67" s="50">
        <f>IF(ISNUMBER(I67),ABS(I67),"")</f>
        <v/>
      </c>
      <c r="K67" s="52">
        <f>IF(ISNUMBER(I67),I67^2,"")</f>
        <v/>
      </c>
    </row>
    <row r="68" ht="15" customHeight="1" s="32">
      <c r="A68" s="41" t="inlineStr">
        <is>
          <t>base</t>
        </is>
      </c>
      <c r="B68" s="41" t="n">
        <v>3</v>
      </c>
      <c r="C68" s="41" t="inlineStr">
        <is>
          <t>up</t>
        </is>
      </c>
      <c r="D68" s="41" t="n">
        <v>-40</v>
      </c>
      <c r="E68" s="48" t="n"/>
      <c r="F68" s="49" t="inlineStr">
        <is>
          <t>—</t>
        </is>
      </c>
      <c r="G68" s="50">
        <f>IF(ISNUMBER(E68),E68-IF(ISNUMBER(F68),F68,0),"")</f>
        <v/>
      </c>
      <c r="H68" s="51" t="n"/>
      <c r="I68" s="50">
        <f>IF(AND(ISNUMBER(G68),ISNUMBER(H68)),H68-G68,"")</f>
        <v/>
      </c>
      <c r="J68" s="50">
        <f>IF(ISNUMBER(I68),ABS(I68),"")</f>
        <v/>
      </c>
      <c r="K68" s="52">
        <f>IF(ISNUMBER(I68),I68^2,"")</f>
        <v/>
      </c>
    </row>
    <row r="69" ht="15" customHeight="1" s="32">
      <c r="A69" s="41" t="inlineStr">
        <is>
          <t>base</t>
        </is>
      </c>
      <c r="B69" s="41" t="n">
        <v>3</v>
      </c>
      <c r="C69" s="41" t="inlineStr">
        <is>
          <t>up</t>
        </is>
      </c>
      <c r="D69" s="41" t="n">
        <v>-30</v>
      </c>
      <c r="E69" s="48" t="n"/>
      <c r="F69" s="49" t="inlineStr">
        <is>
          <t>—</t>
        </is>
      </c>
      <c r="G69" s="50">
        <f>IF(ISNUMBER(E69),E69-IF(ISNUMBER(F69),F69,0),"")</f>
        <v/>
      </c>
      <c r="H69" s="51" t="n"/>
      <c r="I69" s="50">
        <f>IF(AND(ISNUMBER(G69),ISNUMBER(H69)),H69-G69,"")</f>
        <v/>
      </c>
      <c r="J69" s="50">
        <f>IF(ISNUMBER(I69),ABS(I69),"")</f>
        <v/>
      </c>
      <c r="K69" s="52">
        <f>IF(ISNUMBER(I69),I69^2,"")</f>
        <v/>
      </c>
    </row>
    <row r="70" ht="15" customHeight="1" s="32">
      <c r="A70" s="41" t="inlineStr">
        <is>
          <t>base</t>
        </is>
      </c>
      <c r="B70" s="41" t="n">
        <v>3</v>
      </c>
      <c r="C70" s="41" t="inlineStr">
        <is>
          <t>up</t>
        </is>
      </c>
      <c r="D70" s="41" t="n">
        <v>-20</v>
      </c>
      <c r="E70" s="48" t="n"/>
      <c r="F70" s="49" t="inlineStr">
        <is>
          <t>—</t>
        </is>
      </c>
      <c r="G70" s="50">
        <f>IF(ISNUMBER(E70),E70-IF(ISNUMBER(F70),F70,0),"")</f>
        <v/>
      </c>
      <c r="H70" s="51" t="n"/>
      <c r="I70" s="50">
        <f>IF(AND(ISNUMBER(G70),ISNUMBER(H70)),H70-G70,"")</f>
        <v/>
      </c>
      <c r="J70" s="50">
        <f>IF(ISNUMBER(I70),ABS(I70),"")</f>
        <v/>
      </c>
      <c r="K70" s="52">
        <f>IF(ISNUMBER(I70),I70^2,"")</f>
        <v/>
      </c>
    </row>
    <row r="71" ht="15" customHeight="1" s="32">
      <c r="A71" s="41" t="inlineStr">
        <is>
          <t>base</t>
        </is>
      </c>
      <c r="B71" s="41" t="n">
        <v>3</v>
      </c>
      <c r="C71" s="41" t="inlineStr">
        <is>
          <t>up</t>
        </is>
      </c>
      <c r="D71" s="41" t="n">
        <v>-10</v>
      </c>
      <c r="E71" s="48" t="n"/>
      <c r="F71" s="49" t="inlineStr">
        <is>
          <t>—</t>
        </is>
      </c>
      <c r="G71" s="50">
        <f>IF(ISNUMBER(E71),E71-IF(ISNUMBER(F71),F71,0),"")</f>
        <v/>
      </c>
      <c r="H71" s="51" t="n"/>
      <c r="I71" s="50">
        <f>IF(AND(ISNUMBER(G71),ISNUMBER(H71)),H71-G71,"")</f>
        <v/>
      </c>
      <c r="J71" s="50">
        <f>IF(ISNUMBER(I71),ABS(I71),"")</f>
        <v/>
      </c>
      <c r="K71" s="52">
        <f>IF(ISNUMBER(I71),I71^2,"")</f>
        <v/>
      </c>
    </row>
    <row r="72" ht="15" customHeight="1" s="32">
      <c r="A72" s="41" t="inlineStr">
        <is>
          <t>base</t>
        </is>
      </c>
      <c r="B72" s="41" t="n">
        <v>3</v>
      </c>
      <c r="C72" s="41" t="inlineStr">
        <is>
          <t>up</t>
        </is>
      </c>
      <c r="D72" s="41" t="n">
        <v>0</v>
      </c>
      <c r="E72" s="48" t="n"/>
      <c r="F72" s="49" t="inlineStr">
        <is>
          <t>—</t>
        </is>
      </c>
      <c r="G72" s="50">
        <f>IF(ISNUMBER(E72),E72-IF(ISNUMBER(F72),F72,0),"")</f>
        <v/>
      </c>
      <c r="H72" s="51" t="n"/>
      <c r="I72" s="50">
        <f>IF(AND(ISNUMBER(G72),ISNUMBER(H72)),H72-G72,"")</f>
        <v/>
      </c>
      <c r="J72" s="50">
        <f>IF(ISNUMBER(I72),ABS(I72),"")</f>
        <v/>
      </c>
      <c r="K72" s="52">
        <f>IF(ISNUMBER(I72),I72^2,"")</f>
        <v/>
      </c>
    </row>
    <row r="73" ht="15" customHeight="1" s="32">
      <c r="A73" s="41" t="inlineStr">
        <is>
          <t>base</t>
        </is>
      </c>
      <c r="B73" s="41" t="n">
        <v>3</v>
      </c>
      <c r="C73" s="41" t="inlineStr">
        <is>
          <t>up</t>
        </is>
      </c>
      <c r="D73" s="41" t="n">
        <v>10</v>
      </c>
      <c r="E73" s="48" t="n"/>
      <c r="F73" s="49" t="inlineStr">
        <is>
          <t>—</t>
        </is>
      </c>
      <c r="G73" s="50">
        <f>IF(ISNUMBER(E73),E73-IF(ISNUMBER(F73),F73,0),"")</f>
        <v/>
      </c>
      <c r="H73" s="51" t="n"/>
      <c r="I73" s="50">
        <f>IF(AND(ISNUMBER(G73),ISNUMBER(H73)),H73-G73,"")</f>
        <v/>
      </c>
      <c r="J73" s="50">
        <f>IF(ISNUMBER(I73),ABS(I73),"")</f>
        <v/>
      </c>
      <c r="K73" s="52">
        <f>IF(ISNUMBER(I73),I73^2,"")</f>
        <v/>
      </c>
    </row>
    <row r="74" ht="15" customHeight="1" s="32">
      <c r="A74" s="41" t="inlineStr">
        <is>
          <t>base</t>
        </is>
      </c>
      <c r="B74" s="41" t="n">
        <v>3</v>
      </c>
      <c r="C74" s="41" t="inlineStr">
        <is>
          <t>up</t>
        </is>
      </c>
      <c r="D74" s="41" t="n">
        <v>20</v>
      </c>
      <c r="E74" s="48" t="n"/>
      <c r="F74" s="49" t="inlineStr">
        <is>
          <t>—</t>
        </is>
      </c>
      <c r="G74" s="50">
        <f>IF(ISNUMBER(E74),E74-IF(ISNUMBER(F74),F74,0),"")</f>
        <v/>
      </c>
      <c r="H74" s="51" t="n"/>
      <c r="I74" s="50">
        <f>IF(AND(ISNUMBER(G74),ISNUMBER(H74)),H74-G74,"")</f>
        <v/>
      </c>
      <c r="J74" s="50">
        <f>IF(ISNUMBER(I74),ABS(I74),"")</f>
        <v/>
      </c>
      <c r="K74" s="52">
        <f>IF(ISNUMBER(I74),I74^2,"")</f>
        <v/>
      </c>
    </row>
    <row r="75" ht="15" customHeight="1" s="32">
      <c r="A75" s="41" t="inlineStr">
        <is>
          <t>base</t>
        </is>
      </c>
      <c r="B75" s="41" t="n">
        <v>3</v>
      </c>
      <c r="C75" s="41" t="inlineStr">
        <is>
          <t>up</t>
        </is>
      </c>
      <c r="D75" s="41" t="n">
        <v>30</v>
      </c>
      <c r="E75" s="48" t="n"/>
      <c r="F75" s="49" t="inlineStr">
        <is>
          <t>—</t>
        </is>
      </c>
      <c r="G75" s="50">
        <f>IF(ISNUMBER(E75),E75-IF(ISNUMBER(F75),F75,0),"")</f>
        <v/>
      </c>
      <c r="H75" s="51" t="n"/>
      <c r="I75" s="50">
        <f>IF(AND(ISNUMBER(G75),ISNUMBER(H75)),H75-G75,"")</f>
        <v/>
      </c>
      <c r="J75" s="50">
        <f>IF(ISNUMBER(I75),ABS(I75),"")</f>
        <v/>
      </c>
      <c r="K75" s="52">
        <f>IF(ISNUMBER(I75),I75^2,"")</f>
        <v/>
      </c>
    </row>
    <row r="76" ht="15" customHeight="1" s="32">
      <c r="A76" s="41" t="inlineStr">
        <is>
          <t>base</t>
        </is>
      </c>
      <c r="B76" s="41" t="n">
        <v>3</v>
      </c>
      <c r="C76" s="41" t="inlineStr">
        <is>
          <t>up</t>
        </is>
      </c>
      <c r="D76" s="41" t="n">
        <v>40</v>
      </c>
      <c r="E76" s="48" t="n"/>
      <c r="F76" s="49" t="inlineStr">
        <is>
          <t>—</t>
        </is>
      </c>
      <c r="G76" s="50">
        <f>IF(ISNUMBER(E76),E76-IF(ISNUMBER(F76),F76,0),"")</f>
        <v/>
      </c>
      <c r="H76" s="51" t="n"/>
      <c r="I76" s="50">
        <f>IF(AND(ISNUMBER(G76),ISNUMBER(H76)),H76-G76,"")</f>
        <v/>
      </c>
      <c r="J76" s="50">
        <f>IF(ISNUMBER(I76),ABS(I76),"")</f>
        <v/>
      </c>
      <c r="K76" s="52">
        <f>IF(ISNUMBER(I76),I76^2,"")</f>
        <v/>
      </c>
    </row>
    <row r="77" ht="15" customHeight="1" s="32">
      <c r="A77" s="41" t="inlineStr">
        <is>
          <t>base</t>
        </is>
      </c>
      <c r="B77" s="41" t="n">
        <v>3</v>
      </c>
      <c r="C77" s="41" t="inlineStr">
        <is>
          <t>up</t>
        </is>
      </c>
      <c r="D77" s="41" t="n">
        <v>50</v>
      </c>
      <c r="E77" s="48" t="n"/>
      <c r="F77" s="49" t="inlineStr">
        <is>
          <t>—</t>
        </is>
      </c>
      <c r="G77" s="50">
        <f>IF(ISNUMBER(E77),E77-IF(ISNUMBER(F77),F77,0),"")</f>
        <v/>
      </c>
      <c r="H77" s="51" t="n"/>
      <c r="I77" s="50">
        <f>IF(AND(ISNUMBER(G77),ISNUMBER(H77)),H77-G77,"")</f>
        <v/>
      </c>
      <c r="J77" s="50">
        <f>IF(ISNUMBER(I77),ABS(I77),"")</f>
        <v/>
      </c>
      <c r="K77" s="52">
        <f>IF(ISNUMBER(I77),I77^2,"")</f>
        <v/>
      </c>
    </row>
    <row r="78" ht="15" customHeight="1" s="32">
      <c r="A78" s="41" t="inlineStr">
        <is>
          <t>base</t>
        </is>
      </c>
      <c r="B78" s="41" t="n">
        <v>3</v>
      </c>
      <c r="C78" s="41" t="inlineStr">
        <is>
          <t>up</t>
        </is>
      </c>
      <c r="D78" s="41" t="n">
        <v>60</v>
      </c>
      <c r="E78" s="48" t="n"/>
      <c r="F78" s="49" t="inlineStr">
        <is>
          <t>—</t>
        </is>
      </c>
      <c r="G78" s="50">
        <f>IF(ISNUMBER(E78),E78-IF(ISNUMBER(F78),F78,0),"")</f>
        <v/>
      </c>
      <c r="H78" s="51" t="n"/>
      <c r="I78" s="50">
        <f>IF(AND(ISNUMBER(G78),ISNUMBER(H78)),H78-G78,"")</f>
        <v/>
      </c>
      <c r="J78" s="50">
        <f>IF(ISNUMBER(I78),ABS(I78),"")</f>
        <v/>
      </c>
      <c r="K78" s="52">
        <f>IF(ISNUMBER(I78),I78^2,"")</f>
        <v/>
      </c>
    </row>
    <row r="79" ht="15" customHeight="1" s="32">
      <c r="A79" s="41" t="inlineStr">
        <is>
          <t>base</t>
        </is>
      </c>
      <c r="B79" s="41" t="n">
        <v>3</v>
      </c>
      <c r="C79" s="41" t="inlineStr">
        <is>
          <t>down</t>
        </is>
      </c>
      <c r="D79" s="41" t="n">
        <v>60</v>
      </c>
      <c r="E79" s="48" t="n"/>
      <c r="F79" s="49" t="inlineStr">
        <is>
          <t>—</t>
        </is>
      </c>
      <c r="G79" s="50">
        <f>IF(ISNUMBER(E79),E79-IF(ISNUMBER(F79),F79,0),"")</f>
        <v/>
      </c>
      <c r="H79" s="51" t="n"/>
      <c r="I79" s="50">
        <f>IF(AND(ISNUMBER(G79),ISNUMBER(H79)),H79-G79,"")</f>
        <v/>
      </c>
      <c r="J79" s="50">
        <f>IF(ISNUMBER(I79),ABS(I79),"")</f>
        <v/>
      </c>
      <c r="K79" s="52">
        <f>IF(ISNUMBER(I79),I79^2,"")</f>
        <v/>
      </c>
    </row>
    <row r="80" ht="15" customHeight="1" s="32">
      <c r="A80" s="41" t="inlineStr">
        <is>
          <t>base</t>
        </is>
      </c>
      <c r="B80" s="41" t="n">
        <v>3</v>
      </c>
      <c r="C80" s="41" t="inlineStr">
        <is>
          <t>down</t>
        </is>
      </c>
      <c r="D80" s="41" t="n">
        <v>50</v>
      </c>
      <c r="E80" s="48" t="n"/>
      <c r="F80" s="49" t="inlineStr">
        <is>
          <t>—</t>
        </is>
      </c>
      <c r="G80" s="50">
        <f>IF(ISNUMBER(E80),E80-IF(ISNUMBER(F80),F80,0),"")</f>
        <v/>
      </c>
      <c r="H80" s="51" t="n"/>
      <c r="I80" s="50">
        <f>IF(AND(ISNUMBER(G80),ISNUMBER(H80)),H80-G80,"")</f>
        <v/>
      </c>
      <c r="J80" s="50">
        <f>IF(ISNUMBER(I80),ABS(I80),"")</f>
        <v/>
      </c>
      <c r="K80" s="52">
        <f>IF(ISNUMBER(I80),I80^2,"")</f>
        <v/>
      </c>
    </row>
    <row r="81" ht="15" customHeight="1" s="32">
      <c r="A81" s="41" t="inlineStr">
        <is>
          <t>base</t>
        </is>
      </c>
      <c r="B81" s="41" t="n">
        <v>3</v>
      </c>
      <c r="C81" s="41" t="inlineStr">
        <is>
          <t>down</t>
        </is>
      </c>
      <c r="D81" s="41" t="n">
        <v>40</v>
      </c>
      <c r="E81" s="48" t="n"/>
      <c r="F81" s="49" t="inlineStr">
        <is>
          <t>—</t>
        </is>
      </c>
      <c r="G81" s="50">
        <f>IF(ISNUMBER(E81),E81-IF(ISNUMBER(F81),F81,0),"")</f>
        <v/>
      </c>
      <c r="H81" s="51" t="n"/>
      <c r="I81" s="50">
        <f>IF(AND(ISNUMBER(G81),ISNUMBER(H81)),H81-G81,"")</f>
        <v/>
      </c>
      <c r="J81" s="50">
        <f>IF(ISNUMBER(I81),ABS(I81),"")</f>
        <v/>
      </c>
      <c r="K81" s="52">
        <f>IF(ISNUMBER(I81),I81^2,"")</f>
        <v/>
      </c>
    </row>
    <row r="82" ht="15" customHeight="1" s="32">
      <c r="A82" s="41" t="inlineStr">
        <is>
          <t>base</t>
        </is>
      </c>
      <c r="B82" s="41" t="n">
        <v>3</v>
      </c>
      <c r="C82" s="41" t="inlineStr">
        <is>
          <t>down</t>
        </is>
      </c>
      <c r="D82" s="41" t="n">
        <v>30</v>
      </c>
      <c r="E82" s="48" t="n"/>
      <c r="F82" s="49" t="inlineStr">
        <is>
          <t>—</t>
        </is>
      </c>
      <c r="G82" s="50">
        <f>IF(ISNUMBER(E82),E82-IF(ISNUMBER(F82),F82,0),"")</f>
        <v/>
      </c>
      <c r="H82" s="51" t="n"/>
      <c r="I82" s="50">
        <f>IF(AND(ISNUMBER(G82),ISNUMBER(H82)),H82-G82,"")</f>
        <v/>
      </c>
      <c r="J82" s="50">
        <f>IF(ISNUMBER(I82),ABS(I82),"")</f>
        <v/>
      </c>
      <c r="K82" s="52">
        <f>IF(ISNUMBER(I82),I82^2,"")</f>
        <v/>
      </c>
    </row>
    <row r="83" ht="15" customHeight="1" s="32">
      <c r="A83" s="41" t="inlineStr">
        <is>
          <t>base</t>
        </is>
      </c>
      <c r="B83" s="41" t="n">
        <v>3</v>
      </c>
      <c r="C83" s="41" t="inlineStr">
        <is>
          <t>down</t>
        </is>
      </c>
      <c r="D83" s="41" t="n">
        <v>20</v>
      </c>
      <c r="E83" s="48" t="n"/>
      <c r="F83" s="49" t="inlineStr">
        <is>
          <t>—</t>
        </is>
      </c>
      <c r="G83" s="50">
        <f>IF(ISNUMBER(E83),E83-IF(ISNUMBER(F83),F83,0),"")</f>
        <v/>
      </c>
      <c r="H83" s="51" t="n"/>
      <c r="I83" s="50">
        <f>IF(AND(ISNUMBER(G83),ISNUMBER(H83)),H83-G83,"")</f>
        <v/>
      </c>
      <c r="J83" s="50">
        <f>IF(ISNUMBER(I83),ABS(I83),"")</f>
        <v/>
      </c>
      <c r="K83" s="52">
        <f>IF(ISNUMBER(I83),I83^2,"")</f>
        <v/>
      </c>
    </row>
    <row r="84" ht="15" customHeight="1" s="32">
      <c r="A84" s="41" t="inlineStr">
        <is>
          <t>base</t>
        </is>
      </c>
      <c r="B84" s="41" t="n">
        <v>3</v>
      </c>
      <c r="C84" s="41" t="inlineStr">
        <is>
          <t>down</t>
        </is>
      </c>
      <c r="D84" s="41" t="n">
        <v>10</v>
      </c>
      <c r="E84" s="48" t="n"/>
      <c r="F84" s="49" t="inlineStr">
        <is>
          <t>—</t>
        </is>
      </c>
      <c r="G84" s="50">
        <f>IF(ISNUMBER(E84),E84-IF(ISNUMBER(F84),F84,0),"")</f>
        <v/>
      </c>
      <c r="H84" s="51" t="n"/>
      <c r="I84" s="50">
        <f>IF(AND(ISNUMBER(G84),ISNUMBER(H84)),H84-G84,"")</f>
        <v/>
      </c>
      <c r="J84" s="50">
        <f>IF(ISNUMBER(I84),ABS(I84),"")</f>
        <v/>
      </c>
      <c r="K84" s="52">
        <f>IF(ISNUMBER(I84),I84^2,"")</f>
        <v/>
      </c>
    </row>
    <row r="85" ht="15" customHeight="1" s="32">
      <c r="A85" s="41" t="inlineStr">
        <is>
          <t>base</t>
        </is>
      </c>
      <c r="B85" s="41" t="n">
        <v>3</v>
      </c>
      <c r="C85" s="41" t="inlineStr">
        <is>
          <t>down</t>
        </is>
      </c>
      <c r="D85" s="41" t="n">
        <v>0</v>
      </c>
      <c r="E85" s="48" t="n"/>
      <c r="F85" s="49" t="inlineStr">
        <is>
          <t>—</t>
        </is>
      </c>
      <c r="G85" s="50">
        <f>IF(ISNUMBER(E85),E85-IF(ISNUMBER(F85),F85,0),"")</f>
        <v/>
      </c>
      <c r="H85" s="51" t="n"/>
      <c r="I85" s="50">
        <f>IF(AND(ISNUMBER(G85),ISNUMBER(H85)),H85-G85,"")</f>
        <v/>
      </c>
      <c r="J85" s="50">
        <f>IF(ISNUMBER(I85),ABS(I85),"")</f>
        <v/>
      </c>
      <c r="K85" s="52">
        <f>IF(ISNUMBER(I85),I85^2,"")</f>
        <v/>
      </c>
    </row>
    <row r="86" ht="15" customHeight="1" s="32">
      <c r="A86" s="41" t="inlineStr">
        <is>
          <t>base</t>
        </is>
      </c>
      <c r="B86" s="41" t="n">
        <v>3</v>
      </c>
      <c r="C86" s="41" t="inlineStr">
        <is>
          <t>down</t>
        </is>
      </c>
      <c r="D86" s="41" t="n">
        <v>-10</v>
      </c>
      <c r="E86" s="48" t="n"/>
      <c r="F86" s="49" t="inlineStr">
        <is>
          <t>—</t>
        </is>
      </c>
      <c r="G86" s="50">
        <f>IF(ISNUMBER(E86),E86-IF(ISNUMBER(F86),F86,0),"")</f>
        <v/>
      </c>
      <c r="H86" s="51" t="n"/>
      <c r="I86" s="50">
        <f>IF(AND(ISNUMBER(G86),ISNUMBER(H86)),H86-G86,"")</f>
        <v/>
      </c>
      <c r="J86" s="50">
        <f>IF(ISNUMBER(I86),ABS(I86),"")</f>
        <v/>
      </c>
      <c r="K86" s="52">
        <f>IF(ISNUMBER(I86),I86^2,"")</f>
        <v/>
      </c>
    </row>
    <row r="87" ht="15" customHeight="1" s="32">
      <c r="A87" s="41" t="inlineStr">
        <is>
          <t>base</t>
        </is>
      </c>
      <c r="B87" s="41" t="n">
        <v>3</v>
      </c>
      <c r="C87" s="41" t="inlineStr">
        <is>
          <t>down</t>
        </is>
      </c>
      <c r="D87" s="41" t="n">
        <v>-20</v>
      </c>
      <c r="E87" s="48" t="n"/>
      <c r="F87" s="49" t="inlineStr">
        <is>
          <t>—</t>
        </is>
      </c>
      <c r="G87" s="50">
        <f>IF(ISNUMBER(E87),E87-IF(ISNUMBER(F87),F87,0),"")</f>
        <v/>
      </c>
      <c r="H87" s="51" t="n"/>
      <c r="I87" s="50">
        <f>IF(AND(ISNUMBER(G87),ISNUMBER(H87)),H87-G87,"")</f>
        <v/>
      </c>
      <c r="J87" s="50">
        <f>IF(ISNUMBER(I87),ABS(I87),"")</f>
        <v/>
      </c>
      <c r="K87" s="52">
        <f>IF(ISNUMBER(I87),I87^2,"")</f>
        <v/>
      </c>
    </row>
    <row r="88" ht="15" customHeight="1" s="32">
      <c r="A88" s="41" t="inlineStr">
        <is>
          <t>base</t>
        </is>
      </c>
      <c r="B88" s="41" t="n">
        <v>3</v>
      </c>
      <c r="C88" s="41" t="inlineStr">
        <is>
          <t>down</t>
        </is>
      </c>
      <c r="D88" s="41" t="n">
        <v>-30</v>
      </c>
      <c r="E88" s="48" t="n"/>
      <c r="F88" s="49" t="inlineStr">
        <is>
          <t>—</t>
        </is>
      </c>
      <c r="G88" s="50">
        <f>IF(ISNUMBER(E88),E88-IF(ISNUMBER(F88),F88,0),"")</f>
        <v/>
      </c>
      <c r="H88" s="51" t="n"/>
      <c r="I88" s="50">
        <f>IF(AND(ISNUMBER(G88),ISNUMBER(H88)),H88-G88,"")</f>
        <v/>
      </c>
      <c r="J88" s="50">
        <f>IF(ISNUMBER(I88),ABS(I88),"")</f>
        <v/>
      </c>
      <c r="K88" s="52">
        <f>IF(ISNUMBER(I88),I88^2,"")</f>
        <v/>
      </c>
    </row>
    <row r="89" ht="15" customHeight="1" s="32">
      <c r="A89" s="41" t="inlineStr">
        <is>
          <t>base</t>
        </is>
      </c>
      <c r="B89" s="41" t="n">
        <v>3</v>
      </c>
      <c r="C89" s="41" t="inlineStr">
        <is>
          <t>down</t>
        </is>
      </c>
      <c r="D89" s="41" t="n">
        <v>-40</v>
      </c>
      <c r="E89" s="48" t="n"/>
      <c r="F89" s="49" t="inlineStr">
        <is>
          <t>—</t>
        </is>
      </c>
      <c r="G89" s="50">
        <f>IF(ISNUMBER(E89),E89-IF(ISNUMBER(F89),F89,0),"")</f>
        <v/>
      </c>
      <c r="H89" s="51" t="n"/>
      <c r="I89" s="50">
        <f>IF(AND(ISNUMBER(G89),ISNUMBER(H89)),H89-G89,"")</f>
        <v/>
      </c>
      <c r="J89" s="50">
        <f>IF(ISNUMBER(I89),ABS(I89),"")</f>
        <v/>
      </c>
      <c r="K89" s="52">
        <f>IF(ISNUMBER(I89),I89^2,"")</f>
        <v/>
      </c>
    </row>
    <row r="90" ht="15" customHeight="1" s="32">
      <c r="A90" s="41" t="inlineStr">
        <is>
          <t>base</t>
        </is>
      </c>
      <c r="B90" s="41" t="n">
        <v>3</v>
      </c>
      <c r="C90" s="41" t="inlineStr">
        <is>
          <t>down</t>
        </is>
      </c>
      <c r="D90" s="41" t="n">
        <v>-50</v>
      </c>
      <c r="E90" s="48" t="n"/>
      <c r="F90" s="49" t="inlineStr">
        <is>
          <t>—</t>
        </is>
      </c>
      <c r="G90" s="50">
        <f>IF(ISNUMBER(E90),E90-IF(ISNUMBER(F90),F90,0),"")</f>
        <v/>
      </c>
      <c r="H90" s="51" t="n"/>
      <c r="I90" s="50">
        <f>IF(AND(ISNUMBER(G90),ISNUMBER(H90)),H90-G90,"")</f>
        <v/>
      </c>
      <c r="J90" s="50">
        <f>IF(ISNUMBER(I90),ABS(I90),"")</f>
        <v/>
      </c>
      <c r="K90" s="52">
        <f>IF(ISNUMBER(I90),I90^2,"")</f>
        <v/>
      </c>
    </row>
    <row r="91" ht="15" customHeight="1" s="32">
      <c r="A91" s="41" t="inlineStr">
        <is>
          <t>base</t>
        </is>
      </c>
      <c r="B91" s="41" t="n">
        <v>3</v>
      </c>
      <c r="C91" s="41" t="inlineStr">
        <is>
          <t>down</t>
        </is>
      </c>
      <c r="D91" s="41" t="n">
        <v>-60</v>
      </c>
      <c r="E91" s="48" t="n"/>
      <c r="F91" s="49" t="inlineStr">
        <is>
          <t>—</t>
        </is>
      </c>
      <c r="G91" s="50">
        <f>IF(ISNUMBER(E91),E91-IF(ISNUMBER(F91),F91,0),"")</f>
        <v/>
      </c>
      <c r="H91" s="51" t="n"/>
      <c r="I91" s="50">
        <f>IF(AND(ISNUMBER(G91),ISNUMBER(H91)),H91-G91,"")</f>
        <v/>
      </c>
      <c r="J91" s="50">
        <f>IF(ISNUMBER(I91),ABS(I91),"")</f>
        <v/>
      </c>
      <c r="K91" s="52">
        <f>IF(ISNUMBER(I91),I91^2,"")</f>
        <v/>
      </c>
    </row>
    <row r="92" ht="15" customHeight="1" s="32">
      <c r="A92" s="41" t="inlineStr">
        <is>
          <t>shoulder</t>
        </is>
      </c>
      <c r="B92" s="41" t="n">
        <v>1</v>
      </c>
      <c r="C92" s="41" t="inlineStr">
        <is>
          <t>up</t>
        </is>
      </c>
      <c r="D92" s="41" t="n">
        <v>-30</v>
      </c>
      <c r="E92" s="48" t="n">
        <v>-29.6</v>
      </c>
      <c r="F92" s="49" t="inlineStr">
        <is>
          <t>—</t>
        </is>
      </c>
      <c r="G92" s="50">
        <f>IF(ISNUMBER(E92),E92-IF(ISNUMBER(F92),F92,0),"")</f>
        <v/>
      </c>
      <c r="H92" s="51" t="n">
        <v>-29.97</v>
      </c>
      <c r="I92" s="50">
        <f>IF(AND(ISNUMBER(G92),ISNUMBER(H92)),H92-G92,"")</f>
        <v/>
      </c>
      <c r="J92" s="50">
        <f>IF(ISNUMBER(I92),ABS(I92),"")</f>
        <v/>
      </c>
      <c r="K92" s="52">
        <f>IF(ISNUMBER(I92),I92^2,"")</f>
        <v/>
      </c>
    </row>
    <row r="93" ht="15" customHeight="1" s="32">
      <c r="A93" s="41" t="inlineStr">
        <is>
          <t>shoulder</t>
        </is>
      </c>
      <c r="B93" s="41" t="n">
        <v>1</v>
      </c>
      <c r="C93" s="41" t="inlineStr">
        <is>
          <t>up</t>
        </is>
      </c>
      <c r="D93" s="41" t="n">
        <v>-20</v>
      </c>
      <c r="E93" s="48" t="n">
        <v>-20.4</v>
      </c>
      <c r="F93" s="49" t="inlineStr">
        <is>
          <t>—</t>
        </is>
      </c>
      <c r="G93" s="50">
        <f>IF(ISNUMBER(E93),E93-IF(ISNUMBER(F93),F93,0),"")</f>
        <v/>
      </c>
      <c r="H93" s="51" t="n">
        <v>-20.31</v>
      </c>
      <c r="I93" s="50">
        <f>IF(AND(ISNUMBER(G93),ISNUMBER(H93)),H93-G93,"")</f>
        <v/>
      </c>
      <c r="J93" s="50">
        <f>IF(ISNUMBER(I93),ABS(I93),"")</f>
        <v/>
      </c>
      <c r="K93" s="52">
        <f>IF(ISNUMBER(I93),I93^2,"")</f>
        <v/>
      </c>
    </row>
    <row r="94" ht="15" customHeight="1" s="32">
      <c r="A94" s="41" t="inlineStr">
        <is>
          <t>shoulder</t>
        </is>
      </c>
      <c r="B94" s="41" t="n">
        <v>1</v>
      </c>
      <c r="C94" s="41" t="inlineStr">
        <is>
          <t>up</t>
        </is>
      </c>
      <c r="D94" s="41" t="n">
        <v>-10</v>
      </c>
      <c r="E94" s="48" t="n">
        <v>-9.800000000000001</v>
      </c>
      <c r="F94" s="49" t="inlineStr">
        <is>
          <t>—</t>
        </is>
      </c>
      <c r="G94" s="50">
        <f>IF(ISNUMBER(E94),E94-IF(ISNUMBER(F94),F94,0),"")</f>
        <v/>
      </c>
      <c r="H94" s="51" t="n">
        <v>-9.76</v>
      </c>
      <c r="I94" s="50">
        <f>IF(AND(ISNUMBER(G94),ISNUMBER(H94)),H94-G94,"")</f>
        <v/>
      </c>
      <c r="J94" s="50">
        <f>IF(ISNUMBER(I94),ABS(I94),"")</f>
        <v/>
      </c>
      <c r="K94" s="52">
        <f>IF(ISNUMBER(I94),I94^2,"")</f>
        <v/>
      </c>
    </row>
    <row r="95" ht="15" customHeight="1" s="32">
      <c r="A95" s="41" t="inlineStr">
        <is>
          <t>shoulder</t>
        </is>
      </c>
      <c r="B95" s="41" t="n">
        <v>1</v>
      </c>
      <c r="C95" s="41" t="inlineStr">
        <is>
          <t>up</t>
        </is>
      </c>
      <c r="D95" s="41" t="n">
        <v>0</v>
      </c>
      <c r="E95" s="48" t="n">
        <v>0.5</v>
      </c>
      <c r="F95" s="49" t="inlineStr">
        <is>
          <t>—</t>
        </is>
      </c>
      <c r="G95" s="50">
        <f>IF(ISNUMBER(E95),E95-IF(ISNUMBER(F95),F95,0),"")</f>
        <v/>
      </c>
      <c r="H95" s="51" t="n">
        <v>0.22</v>
      </c>
      <c r="I95" s="50">
        <f>IF(AND(ISNUMBER(G95),ISNUMBER(H95)),H95-G95,"")</f>
        <v/>
      </c>
      <c r="J95" s="50">
        <f>IF(ISNUMBER(I95),ABS(I95),"")</f>
        <v/>
      </c>
      <c r="K95" s="52">
        <f>IF(ISNUMBER(I95),I95^2,"")</f>
        <v/>
      </c>
    </row>
    <row r="96" ht="15" customHeight="1" s="32">
      <c r="A96" s="41" t="inlineStr">
        <is>
          <t>shoulder</t>
        </is>
      </c>
      <c r="B96" s="41" t="n">
        <v>1</v>
      </c>
      <c r="C96" s="41" t="inlineStr">
        <is>
          <t>up</t>
        </is>
      </c>
      <c r="D96" s="41" t="n">
        <v>10</v>
      </c>
      <c r="E96" s="48" t="n">
        <v>10.3</v>
      </c>
      <c r="F96" s="49" t="inlineStr">
        <is>
          <t>—</t>
        </is>
      </c>
      <c r="G96" s="50">
        <f>IF(ISNUMBER(E96),E96-IF(ISNUMBER(F96),F96,0),"")</f>
        <v/>
      </c>
      <c r="H96" s="51" t="n">
        <v>10.64</v>
      </c>
      <c r="I96" s="50">
        <f>IF(AND(ISNUMBER(G96),ISNUMBER(H96)),H96-G96,"")</f>
        <v/>
      </c>
      <c r="J96" s="50">
        <f>IF(ISNUMBER(I96),ABS(I96),"")</f>
        <v/>
      </c>
      <c r="K96" s="52">
        <f>IF(ISNUMBER(I96),I96^2,"")</f>
        <v/>
      </c>
    </row>
    <row r="97" ht="15" customHeight="1" s="32">
      <c r="A97" s="41" t="inlineStr">
        <is>
          <t>shoulder</t>
        </is>
      </c>
      <c r="B97" s="41" t="n">
        <v>1</v>
      </c>
      <c r="C97" s="41" t="inlineStr">
        <is>
          <t>up</t>
        </is>
      </c>
      <c r="D97" s="41" t="n">
        <v>20</v>
      </c>
      <c r="E97" s="48" t="n">
        <v>19.8</v>
      </c>
      <c r="F97" s="49" t="inlineStr">
        <is>
          <t>—</t>
        </is>
      </c>
      <c r="G97" s="50">
        <f>IF(ISNUMBER(E97),E97-IF(ISNUMBER(F97),F97,0),"")</f>
        <v/>
      </c>
      <c r="H97" s="51" t="n">
        <v>19.92</v>
      </c>
      <c r="I97" s="50">
        <f>IF(AND(ISNUMBER(G97),ISNUMBER(H97)),H97-G97,"")</f>
        <v/>
      </c>
      <c r="J97" s="50">
        <f>IF(ISNUMBER(I97),ABS(I97),"")</f>
        <v/>
      </c>
      <c r="K97" s="52">
        <f>IF(ISNUMBER(I97),I97^2,"")</f>
        <v/>
      </c>
    </row>
    <row r="98" ht="15" customHeight="1" s="32">
      <c r="A98" s="41" t="inlineStr">
        <is>
          <t>shoulder</t>
        </is>
      </c>
      <c r="B98" s="41" t="n">
        <v>1</v>
      </c>
      <c r="C98" s="41" t="inlineStr">
        <is>
          <t>up</t>
        </is>
      </c>
      <c r="D98" s="41" t="n">
        <v>30</v>
      </c>
      <c r="E98" s="48" t="n">
        <v>29.8</v>
      </c>
      <c r="F98" s="49" t="inlineStr">
        <is>
          <t>—</t>
        </is>
      </c>
      <c r="G98" s="50">
        <f>IF(ISNUMBER(E98),E98-IF(ISNUMBER(F98),F98,0),"")</f>
        <v/>
      </c>
      <c r="H98" s="51" t="n">
        <v>30.08</v>
      </c>
      <c r="I98" s="50">
        <f>IF(AND(ISNUMBER(G98),ISNUMBER(H98)),H98-G98,"")</f>
        <v/>
      </c>
      <c r="J98" s="50">
        <f>IF(ISNUMBER(I98),ABS(I98),"")</f>
        <v/>
      </c>
      <c r="K98" s="52">
        <f>IF(ISNUMBER(I98),I98^2,"")</f>
        <v/>
      </c>
    </row>
    <row r="99" ht="15" customHeight="1" s="32">
      <c r="A99" s="41" t="inlineStr">
        <is>
          <t>shoulder</t>
        </is>
      </c>
      <c r="B99" s="41" t="n">
        <v>1</v>
      </c>
      <c r="C99" s="41" t="inlineStr">
        <is>
          <t>up</t>
        </is>
      </c>
      <c r="D99" s="41" t="n">
        <v>40</v>
      </c>
      <c r="E99" s="48" t="n">
        <v>40.2</v>
      </c>
      <c r="F99" s="49" t="inlineStr">
        <is>
          <t>—</t>
        </is>
      </c>
      <c r="G99" s="50">
        <f>IF(ISNUMBER(E99),E99-IF(ISNUMBER(F99),F99,0),"")</f>
        <v/>
      </c>
      <c r="H99" s="51" t="n">
        <v>40.34</v>
      </c>
      <c r="I99" s="50">
        <f>IF(AND(ISNUMBER(G99),ISNUMBER(H99)),H99-G99,"")</f>
        <v/>
      </c>
      <c r="J99" s="50">
        <f>IF(ISNUMBER(I99),ABS(I99),"")</f>
        <v/>
      </c>
      <c r="K99" s="52">
        <f>IF(ISNUMBER(I99),I99^2,"")</f>
        <v/>
      </c>
    </row>
    <row r="100" ht="15" customHeight="1" s="32">
      <c r="A100" s="41" t="inlineStr">
        <is>
          <t>shoulder</t>
        </is>
      </c>
      <c r="B100" s="41" t="n">
        <v>1</v>
      </c>
      <c r="C100" s="41" t="inlineStr">
        <is>
          <t>up</t>
        </is>
      </c>
      <c r="D100" s="41" t="n">
        <v>50</v>
      </c>
      <c r="E100" s="48" t="n">
        <v>50.1</v>
      </c>
      <c r="F100" s="49" t="inlineStr">
        <is>
          <t>—</t>
        </is>
      </c>
      <c r="G100" s="50">
        <f>IF(ISNUMBER(E100),E100-IF(ISNUMBER(F100),F100,0),"")</f>
        <v/>
      </c>
      <c r="H100" s="51" t="n">
        <v>50.36</v>
      </c>
      <c r="I100" s="50">
        <f>IF(AND(ISNUMBER(G100),ISNUMBER(H100)),H100-G100,"")</f>
        <v/>
      </c>
      <c r="J100" s="50">
        <f>IF(ISNUMBER(I100),ABS(I100),"")</f>
        <v/>
      </c>
      <c r="K100" s="52">
        <f>IF(ISNUMBER(I100),I100^2,"")</f>
        <v/>
      </c>
    </row>
    <row r="101" ht="15" customHeight="1" s="32">
      <c r="A101" s="41" t="inlineStr">
        <is>
          <t>shoulder</t>
        </is>
      </c>
      <c r="B101" s="41" t="n">
        <v>1</v>
      </c>
      <c r="C101" s="41" t="inlineStr">
        <is>
          <t>up</t>
        </is>
      </c>
      <c r="D101" s="41" t="n">
        <v>60</v>
      </c>
      <c r="E101" s="48" t="n">
        <v>60.2</v>
      </c>
      <c r="F101" s="49" t="inlineStr">
        <is>
          <t>—</t>
        </is>
      </c>
      <c r="G101" s="50">
        <f>IF(ISNUMBER(E101),E101-IF(ISNUMBER(F101),F101,0),"")</f>
        <v/>
      </c>
      <c r="H101" s="51" t="n">
        <v>60.03</v>
      </c>
      <c r="I101" s="50">
        <f>IF(AND(ISNUMBER(G101),ISNUMBER(H101)),H101-G101,"")</f>
        <v/>
      </c>
      <c r="J101" s="50">
        <f>IF(ISNUMBER(I101),ABS(I101),"")</f>
        <v/>
      </c>
      <c r="K101" s="52">
        <f>IF(ISNUMBER(I101),I101^2,"")</f>
        <v/>
      </c>
    </row>
    <row r="102" ht="15" customHeight="1" s="32">
      <c r="A102" s="41" t="inlineStr">
        <is>
          <t>shoulder</t>
        </is>
      </c>
      <c r="B102" s="41" t="n">
        <v>1</v>
      </c>
      <c r="C102" s="41" t="inlineStr">
        <is>
          <t>up</t>
        </is>
      </c>
      <c r="D102" s="41" t="n">
        <v>70</v>
      </c>
      <c r="E102" s="48" t="n">
        <v>69.7</v>
      </c>
      <c r="F102" s="49" t="inlineStr">
        <is>
          <t>—</t>
        </is>
      </c>
      <c r="G102" s="50">
        <f>IF(ISNUMBER(E102),E102-IF(ISNUMBER(F102),F102,0),"")</f>
        <v/>
      </c>
      <c r="H102" s="51" t="n">
        <v>69.79000000000001</v>
      </c>
      <c r="I102" s="50">
        <f>IF(AND(ISNUMBER(G102),ISNUMBER(H102)),H102-G102,"")</f>
        <v/>
      </c>
      <c r="J102" s="50">
        <f>IF(ISNUMBER(I102),ABS(I102),"")</f>
        <v/>
      </c>
      <c r="K102" s="52">
        <f>IF(ISNUMBER(I102),I102^2,"")</f>
        <v/>
      </c>
    </row>
    <row r="103" ht="15" customHeight="1" s="32">
      <c r="A103" s="41" t="inlineStr">
        <is>
          <t>shoulder</t>
        </is>
      </c>
      <c r="B103" s="41" t="n">
        <v>1</v>
      </c>
      <c r="C103" s="41" t="inlineStr">
        <is>
          <t>up</t>
        </is>
      </c>
      <c r="D103" s="41" t="n">
        <v>75</v>
      </c>
      <c r="E103" s="48" t="n">
        <v>75.3</v>
      </c>
      <c r="F103" s="49" t="inlineStr">
        <is>
          <t>—</t>
        </is>
      </c>
      <c r="G103" s="50">
        <f>IF(ISNUMBER(E103),E103-IF(ISNUMBER(F103),F103,0),"")</f>
        <v/>
      </c>
      <c r="H103" s="51" t="n">
        <v>75.06</v>
      </c>
      <c r="I103" s="50">
        <f>IF(AND(ISNUMBER(G103),ISNUMBER(H103)),H103-G103,"")</f>
        <v/>
      </c>
      <c r="J103" s="50">
        <f>IF(ISNUMBER(I103),ABS(I103),"")</f>
        <v/>
      </c>
      <c r="K103" s="52">
        <f>IF(ISNUMBER(I103),I103^2,"")</f>
        <v/>
      </c>
    </row>
    <row r="104" ht="15" customHeight="1" s="32">
      <c r="A104" s="41" t="inlineStr">
        <is>
          <t>shoulder</t>
        </is>
      </c>
      <c r="B104" s="41" t="n">
        <v>1</v>
      </c>
      <c r="C104" s="41" t="inlineStr">
        <is>
          <t>down</t>
        </is>
      </c>
      <c r="D104" s="41" t="n">
        <v>75</v>
      </c>
      <c r="E104" s="48" t="n"/>
      <c r="F104" s="49" t="inlineStr">
        <is>
          <t>—</t>
        </is>
      </c>
      <c r="G104" s="50">
        <f>IF(ISNUMBER(E104),E104-IF(ISNUMBER(F104),F104,0),"")</f>
        <v/>
      </c>
      <c r="H104" s="51" t="n"/>
      <c r="I104" s="50">
        <f>IF(AND(ISNUMBER(G104),ISNUMBER(H104)),H104-G104,"")</f>
        <v/>
      </c>
      <c r="J104" s="50">
        <f>IF(ISNUMBER(I104),ABS(I104),"")</f>
        <v/>
      </c>
      <c r="K104" s="52">
        <f>IF(ISNUMBER(I104),I104^2,"")</f>
        <v/>
      </c>
    </row>
    <row r="105" ht="15" customHeight="1" s="32">
      <c r="A105" s="41" t="inlineStr">
        <is>
          <t>shoulder</t>
        </is>
      </c>
      <c r="B105" s="41" t="n">
        <v>1</v>
      </c>
      <c r="C105" s="41" t="inlineStr">
        <is>
          <t>down</t>
        </is>
      </c>
      <c r="D105" s="41" t="n">
        <v>70</v>
      </c>
      <c r="E105" s="48" t="n"/>
      <c r="F105" s="49" t="inlineStr">
        <is>
          <t>—</t>
        </is>
      </c>
      <c r="G105" s="50">
        <f>IF(ISNUMBER(E105),E105-IF(ISNUMBER(F105),F105,0),"")</f>
        <v/>
      </c>
      <c r="H105" s="51" t="n"/>
      <c r="I105" s="50">
        <f>IF(AND(ISNUMBER(G105),ISNUMBER(H105)),H105-G105,"")</f>
        <v/>
      </c>
      <c r="J105" s="50">
        <f>IF(ISNUMBER(I105),ABS(I105),"")</f>
        <v/>
      </c>
      <c r="K105" s="52">
        <f>IF(ISNUMBER(I105),I105^2,"")</f>
        <v/>
      </c>
    </row>
    <row r="106" ht="15" customHeight="1" s="32">
      <c r="A106" s="41" t="inlineStr">
        <is>
          <t>shoulder</t>
        </is>
      </c>
      <c r="B106" s="41" t="n">
        <v>1</v>
      </c>
      <c r="C106" s="41" t="inlineStr">
        <is>
          <t>down</t>
        </is>
      </c>
      <c r="D106" s="41" t="n">
        <v>60</v>
      </c>
      <c r="E106" s="48" t="n"/>
      <c r="F106" s="49" t="inlineStr">
        <is>
          <t>—</t>
        </is>
      </c>
      <c r="G106" s="50">
        <f>IF(ISNUMBER(E106),E106-IF(ISNUMBER(F106),F106,0),"")</f>
        <v/>
      </c>
      <c r="H106" s="51" t="n"/>
      <c r="I106" s="50">
        <f>IF(AND(ISNUMBER(G106),ISNUMBER(H106)),H106-G106,"")</f>
        <v/>
      </c>
      <c r="J106" s="50">
        <f>IF(ISNUMBER(I106),ABS(I106),"")</f>
        <v/>
      </c>
      <c r="K106" s="52">
        <f>IF(ISNUMBER(I106),I106^2,"")</f>
        <v/>
      </c>
    </row>
    <row r="107" ht="15" customHeight="1" s="32">
      <c r="A107" s="41" t="inlineStr">
        <is>
          <t>shoulder</t>
        </is>
      </c>
      <c r="B107" s="41" t="n">
        <v>1</v>
      </c>
      <c r="C107" s="41" t="inlineStr">
        <is>
          <t>down</t>
        </is>
      </c>
      <c r="D107" s="41" t="n">
        <v>50</v>
      </c>
      <c r="E107" s="48" t="n"/>
      <c r="F107" s="49" t="inlineStr">
        <is>
          <t>—</t>
        </is>
      </c>
      <c r="G107" s="50">
        <f>IF(ISNUMBER(E107),E107-IF(ISNUMBER(F107),F107,0),"")</f>
        <v/>
      </c>
      <c r="H107" s="51" t="n"/>
      <c r="I107" s="50">
        <f>IF(AND(ISNUMBER(G107),ISNUMBER(H107)),H107-G107,"")</f>
        <v/>
      </c>
      <c r="J107" s="50">
        <f>IF(ISNUMBER(I107),ABS(I107),"")</f>
        <v/>
      </c>
      <c r="K107" s="52">
        <f>IF(ISNUMBER(I107),I107^2,"")</f>
        <v/>
      </c>
    </row>
    <row r="108" ht="15" customHeight="1" s="32">
      <c r="A108" s="41" t="inlineStr">
        <is>
          <t>shoulder</t>
        </is>
      </c>
      <c r="B108" s="41" t="n">
        <v>1</v>
      </c>
      <c r="C108" s="41" t="inlineStr">
        <is>
          <t>down</t>
        </is>
      </c>
      <c r="D108" s="41" t="n">
        <v>40</v>
      </c>
      <c r="E108" s="48" t="n"/>
      <c r="F108" s="49" t="inlineStr">
        <is>
          <t>—</t>
        </is>
      </c>
      <c r="G108" s="50">
        <f>IF(ISNUMBER(E108),E108-IF(ISNUMBER(F108),F108,0),"")</f>
        <v/>
      </c>
      <c r="H108" s="51" t="n"/>
      <c r="I108" s="50">
        <f>IF(AND(ISNUMBER(G108),ISNUMBER(H108)),H108-G108,"")</f>
        <v/>
      </c>
      <c r="J108" s="50">
        <f>IF(ISNUMBER(I108),ABS(I108),"")</f>
        <v/>
      </c>
      <c r="K108" s="52">
        <f>IF(ISNUMBER(I108),I108^2,"")</f>
        <v/>
      </c>
    </row>
    <row r="109" ht="15" customHeight="1" s="32">
      <c r="A109" s="41" t="inlineStr">
        <is>
          <t>shoulder</t>
        </is>
      </c>
      <c r="B109" s="41" t="n">
        <v>1</v>
      </c>
      <c r="C109" s="41" t="inlineStr">
        <is>
          <t>down</t>
        </is>
      </c>
      <c r="D109" s="41" t="n">
        <v>30</v>
      </c>
      <c r="E109" s="48" t="n"/>
      <c r="F109" s="49" t="inlineStr">
        <is>
          <t>—</t>
        </is>
      </c>
      <c r="G109" s="50">
        <f>IF(ISNUMBER(E109),E109-IF(ISNUMBER(F109),F109,0),"")</f>
        <v/>
      </c>
      <c r="H109" s="51" t="n"/>
      <c r="I109" s="50">
        <f>IF(AND(ISNUMBER(G109),ISNUMBER(H109)),H109-G109,"")</f>
        <v/>
      </c>
      <c r="J109" s="50">
        <f>IF(ISNUMBER(I109),ABS(I109),"")</f>
        <v/>
      </c>
      <c r="K109" s="52">
        <f>IF(ISNUMBER(I109),I109^2,"")</f>
        <v/>
      </c>
    </row>
    <row r="110" ht="15" customHeight="1" s="32">
      <c r="A110" s="41" t="inlineStr">
        <is>
          <t>shoulder</t>
        </is>
      </c>
      <c r="B110" s="41" t="n">
        <v>1</v>
      </c>
      <c r="C110" s="41" t="inlineStr">
        <is>
          <t>down</t>
        </is>
      </c>
      <c r="D110" s="41" t="n">
        <v>20</v>
      </c>
      <c r="E110" s="48" t="n"/>
      <c r="F110" s="49" t="inlineStr">
        <is>
          <t>—</t>
        </is>
      </c>
      <c r="G110" s="50">
        <f>IF(ISNUMBER(E110),E110-IF(ISNUMBER(F110),F110,0),"")</f>
        <v/>
      </c>
      <c r="H110" s="51" t="n"/>
      <c r="I110" s="50">
        <f>IF(AND(ISNUMBER(G110),ISNUMBER(H110)),H110-G110,"")</f>
        <v/>
      </c>
      <c r="J110" s="50">
        <f>IF(ISNUMBER(I110),ABS(I110),"")</f>
        <v/>
      </c>
      <c r="K110" s="52">
        <f>IF(ISNUMBER(I110),I110^2,"")</f>
        <v/>
      </c>
    </row>
    <row r="111" ht="15" customHeight="1" s="32">
      <c r="A111" s="41" t="inlineStr">
        <is>
          <t>shoulder</t>
        </is>
      </c>
      <c r="B111" s="41" t="n">
        <v>1</v>
      </c>
      <c r="C111" s="41" t="inlineStr">
        <is>
          <t>down</t>
        </is>
      </c>
      <c r="D111" s="41" t="n">
        <v>10</v>
      </c>
      <c r="E111" s="48" t="n"/>
      <c r="F111" s="49" t="inlineStr">
        <is>
          <t>—</t>
        </is>
      </c>
      <c r="G111" s="50">
        <f>IF(ISNUMBER(E111),E111-IF(ISNUMBER(F111),F111,0),"")</f>
        <v/>
      </c>
      <c r="H111" s="51" t="n"/>
      <c r="I111" s="50">
        <f>IF(AND(ISNUMBER(G111),ISNUMBER(H111)),H111-G111,"")</f>
        <v/>
      </c>
      <c r="J111" s="50">
        <f>IF(ISNUMBER(I111),ABS(I111),"")</f>
        <v/>
      </c>
      <c r="K111" s="52">
        <f>IF(ISNUMBER(I111),I111^2,"")</f>
        <v/>
      </c>
    </row>
    <row r="112" ht="15" customHeight="1" s="32">
      <c r="A112" s="41" t="inlineStr">
        <is>
          <t>shoulder</t>
        </is>
      </c>
      <c r="B112" s="41" t="n">
        <v>1</v>
      </c>
      <c r="C112" s="41" t="inlineStr">
        <is>
          <t>down</t>
        </is>
      </c>
      <c r="D112" s="41" t="n">
        <v>0</v>
      </c>
      <c r="E112" s="48" t="n"/>
      <c r="F112" s="49" t="inlineStr">
        <is>
          <t>—</t>
        </is>
      </c>
      <c r="G112" s="50">
        <f>IF(ISNUMBER(E112),E112-IF(ISNUMBER(F112),F112,0),"")</f>
        <v/>
      </c>
      <c r="H112" s="51" t="n"/>
      <c r="I112" s="50">
        <f>IF(AND(ISNUMBER(G112),ISNUMBER(H112)),H112-G112,"")</f>
        <v/>
      </c>
      <c r="J112" s="50">
        <f>IF(ISNUMBER(I112),ABS(I112),"")</f>
        <v/>
      </c>
      <c r="K112" s="52">
        <f>IF(ISNUMBER(I112),I112^2,"")</f>
        <v/>
      </c>
    </row>
    <row r="113" ht="15" customHeight="1" s="32">
      <c r="A113" s="41" t="inlineStr">
        <is>
          <t>shoulder</t>
        </is>
      </c>
      <c r="B113" s="41" t="n">
        <v>1</v>
      </c>
      <c r="C113" s="41" t="inlineStr">
        <is>
          <t>down</t>
        </is>
      </c>
      <c r="D113" s="41" t="n">
        <v>-10</v>
      </c>
      <c r="E113" s="48" t="n"/>
      <c r="F113" s="49" t="inlineStr">
        <is>
          <t>—</t>
        </is>
      </c>
      <c r="G113" s="50">
        <f>IF(ISNUMBER(E113),E113-IF(ISNUMBER(F113),F113,0),"")</f>
        <v/>
      </c>
      <c r="H113" s="51" t="n"/>
      <c r="I113" s="50">
        <f>IF(AND(ISNUMBER(G113),ISNUMBER(H113)),H113-G113,"")</f>
        <v/>
      </c>
      <c r="J113" s="50">
        <f>IF(ISNUMBER(I113),ABS(I113),"")</f>
        <v/>
      </c>
      <c r="K113" s="52">
        <f>IF(ISNUMBER(I113),I113^2,"")</f>
        <v/>
      </c>
    </row>
    <row r="114" ht="15" customHeight="1" s="32">
      <c r="A114" s="41" t="inlineStr">
        <is>
          <t>shoulder</t>
        </is>
      </c>
      <c r="B114" s="41" t="n">
        <v>1</v>
      </c>
      <c r="C114" s="41" t="inlineStr">
        <is>
          <t>down</t>
        </is>
      </c>
      <c r="D114" s="41" t="n">
        <v>-20</v>
      </c>
      <c r="E114" s="48" t="n"/>
      <c r="F114" s="49" t="inlineStr">
        <is>
          <t>—</t>
        </is>
      </c>
      <c r="G114" s="50">
        <f>IF(ISNUMBER(E114),E114-IF(ISNUMBER(F114),F114,0),"")</f>
        <v/>
      </c>
      <c r="H114" s="51" t="n"/>
      <c r="I114" s="50">
        <f>IF(AND(ISNUMBER(G114),ISNUMBER(H114)),H114-G114,"")</f>
        <v/>
      </c>
      <c r="J114" s="50">
        <f>IF(ISNUMBER(I114),ABS(I114),"")</f>
        <v/>
      </c>
      <c r="K114" s="52">
        <f>IF(ISNUMBER(I114),I114^2,"")</f>
        <v/>
      </c>
    </row>
    <row r="115" ht="15" customHeight="1" s="32">
      <c r="A115" s="41" t="inlineStr">
        <is>
          <t>shoulder</t>
        </is>
      </c>
      <c r="B115" s="41" t="n">
        <v>1</v>
      </c>
      <c r="C115" s="41" t="inlineStr">
        <is>
          <t>down</t>
        </is>
      </c>
      <c r="D115" s="41" t="n">
        <v>-30</v>
      </c>
      <c r="E115" s="48" t="n"/>
      <c r="F115" s="49" t="inlineStr">
        <is>
          <t>—</t>
        </is>
      </c>
      <c r="G115" s="50">
        <f>IF(ISNUMBER(E115),E115-IF(ISNUMBER(F115),F115,0),"")</f>
        <v/>
      </c>
      <c r="H115" s="51" t="n"/>
      <c r="I115" s="50">
        <f>IF(AND(ISNUMBER(G115),ISNUMBER(H115)),H115-G115,"")</f>
        <v/>
      </c>
      <c r="J115" s="50">
        <f>IF(ISNUMBER(I115),ABS(I115),"")</f>
        <v/>
      </c>
      <c r="K115" s="52">
        <f>IF(ISNUMBER(I115),I115^2,"")</f>
        <v/>
      </c>
    </row>
    <row r="116" ht="15" customHeight="1" s="32">
      <c r="A116" s="41" t="inlineStr">
        <is>
          <t>shoulder</t>
        </is>
      </c>
      <c r="B116" s="41" t="n">
        <v>2</v>
      </c>
      <c r="C116" s="41" t="inlineStr">
        <is>
          <t>up</t>
        </is>
      </c>
      <c r="D116" s="41" t="n">
        <v>-30</v>
      </c>
      <c r="E116" s="48" t="n"/>
      <c r="F116" s="49" t="inlineStr">
        <is>
          <t>—</t>
        </is>
      </c>
      <c r="G116" s="50">
        <f>IF(ISNUMBER(E116),E116-IF(ISNUMBER(F116),F116,0),"")</f>
        <v/>
      </c>
      <c r="H116" s="51" t="n"/>
      <c r="I116" s="50">
        <f>IF(AND(ISNUMBER(G116),ISNUMBER(H116)),H116-G116,"")</f>
        <v/>
      </c>
      <c r="J116" s="50">
        <f>IF(ISNUMBER(I116),ABS(I116),"")</f>
        <v/>
      </c>
      <c r="K116" s="52">
        <f>IF(ISNUMBER(I116),I116^2,"")</f>
        <v/>
      </c>
    </row>
    <row r="117" ht="15" customHeight="1" s="32">
      <c r="A117" s="41" t="inlineStr">
        <is>
          <t>shoulder</t>
        </is>
      </c>
      <c r="B117" s="41" t="n">
        <v>2</v>
      </c>
      <c r="C117" s="41" t="inlineStr">
        <is>
          <t>up</t>
        </is>
      </c>
      <c r="D117" s="41" t="n">
        <v>-20</v>
      </c>
      <c r="E117" s="48" t="n"/>
      <c r="F117" s="49" t="inlineStr">
        <is>
          <t>—</t>
        </is>
      </c>
      <c r="G117" s="50">
        <f>IF(ISNUMBER(E117),E117-IF(ISNUMBER(F117),F117,0),"")</f>
        <v/>
      </c>
      <c r="H117" s="51" t="n"/>
      <c r="I117" s="50">
        <f>IF(AND(ISNUMBER(G117),ISNUMBER(H117)),H117-G117,"")</f>
        <v/>
      </c>
      <c r="J117" s="50">
        <f>IF(ISNUMBER(I117),ABS(I117),"")</f>
        <v/>
      </c>
      <c r="K117" s="52">
        <f>IF(ISNUMBER(I117),I117^2,"")</f>
        <v/>
      </c>
    </row>
    <row r="118" ht="15" customHeight="1" s="32">
      <c r="A118" s="41" t="inlineStr">
        <is>
          <t>shoulder</t>
        </is>
      </c>
      <c r="B118" s="41" t="n">
        <v>2</v>
      </c>
      <c r="C118" s="41" t="inlineStr">
        <is>
          <t>up</t>
        </is>
      </c>
      <c r="D118" s="41" t="n">
        <v>-10</v>
      </c>
      <c r="E118" s="48" t="n"/>
      <c r="F118" s="49" t="inlineStr">
        <is>
          <t>—</t>
        </is>
      </c>
      <c r="G118" s="50">
        <f>IF(ISNUMBER(E118),E118-IF(ISNUMBER(F118),F118,0),"")</f>
        <v/>
      </c>
      <c r="H118" s="51" t="n"/>
      <c r="I118" s="50">
        <f>IF(AND(ISNUMBER(G118),ISNUMBER(H118)),H118-G118,"")</f>
        <v/>
      </c>
      <c r="J118" s="50">
        <f>IF(ISNUMBER(I118),ABS(I118),"")</f>
        <v/>
      </c>
      <c r="K118" s="52">
        <f>IF(ISNUMBER(I118),I118^2,"")</f>
        <v/>
      </c>
    </row>
    <row r="119" ht="15" customHeight="1" s="32">
      <c r="A119" s="41" t="inlineStr">
        <is>
          <t>shoulder</t>
        </is>
      </c>
      <c r="B119" s="41" t="n">
        <v>2</v>
      </c>
      <c r="C119" s="41" t="inlineStr">
        <is>
          <t>up</t>
        </is>
      </c>
      <c r="D119" s="41" t="n">
        <v>0</v>
      </c>
      <c r="E119" s="48" t="n"/>
      <c r="F119" s="49" t="inlineStr">
        <is>
          <t>—</t>
        </is>
      </c>
      <c r="G119" s="50">
        <f>IF(ISNUMBER(E119),E119-IF(ISNUMBER(F119),F119,0),"")</f>
        <v/>
      </c>
      <c r="H119" s="51" t="n"/>
      <c r="I119" s="50">
        <f>IF(AND(ISNUMBER(G119),ISNUMBER(H119)),H119-G119,"")</f>
        <v/>
      </c>
      <c r="J119" s="50">
        <f>IF(ISNUMBER(I119),ABS(I119),"")</f>
        <v/>
      </c>
      <c r="K119" s="52">
        <f>IF(ISNUMBER(I119),I119^2,"")</f>
        <v/>
      </c>
    </row>
    <row r="120" ht="15" customHeight="1" s="32">
      <c r="A120" s="41" t="inlineStr">
        <is>
          <t>shoulder</t>
        </is>
      </c>
      <c r="B120" s="41" t="n">
        <v>2</v>
      </c>
      <c r="C120" s="41" t="inlineStr">
        <is>
          <t>up</t>
        </is>
      </c>
      <c r="D120" s="41" t="n">
        <v>10</v>
      </c>
      <c r="E120" s="48" t="n"/>
      <c r="F120" s="49" t="inlineStr">
        <is>
          <t>—</t>
        </is>
      </c>
      <c r="G120" s="50">
        <f>IF(ISNUMBER(E120),E120-IF(ISNUMBER(F120),F120,0),"")</f>
        <v/>
      </c>
      <c r="H120" s="51" t="n"/>
      <c r="I120" s="50">
        <f>IF(AND(ISNUMBER(G120),ISNUMBER(H120)),H120-G120,"")</f>
        <v/>
      </c>
      <c r="J120" s="50">
        <f>IF(ISNUMBER(I120),ABS(I120),"")</f>
        <v/>
      </c>
      <c r="K120" s="52">
        <f>IF(ISNUMBER(I120),I120^2,"")</f>
        <v/>
      </c>
    </row>
    <row r="121" ht="15" customHeight="1" s="32">
      <c r="A121" s="41" t="inlineStr">
        <is>
          <t>shoulder</t>
        </is>
      </c>
      <c r="B121" s="41" t="n">
        <v>2</v>
      </c>
      <c r="C121" s="41" t="inlineStr">
        <is>
          <t>up</t>
        </is>
      </c>
      <c r="D121" s="41" t="n">
        <v>20</v>
      </c>
      <c r="E121" s="48" t="n"/>
      <c r="F121" s="49" t="inlineStr">
        <is>
          <t>—</t>
        </is>
      </c>
      <c r="G121" s="50">
        <f>IF(ISNUMBER(E121),E121-IF(ISNUMBER(F121),F121,0),"")</f>
        <v/>
      </c>
      <c r="H121" s="51" t="n"/>
      <c r="I121" s="50">
        <f>IF(AND(ISNUMBER(G121),ISNUMBER(H121)),H121-G121,"")</f>
        <v/>
      </c>
      <c r="J121" s="50">
        <f>IF(ISNUMBER(I121),ABS(I121),"")</f>
        <v/>
      </c>
      <c r="K121" s="52">
        <f>IF(ISNUMBER(I121),I121^2,"")</f>
        <v/>
      </c>
    </row>
    <row r="122" ht="15" customHeight="1" s="32">
      <c r="A122" s="41" t="inlineStr">
        <is>
          <t>shoulder</t>
        </is>
      </c>
      <c r="B122" s="41" t="n">
        <v>2</v>
      </c>
      <c r="C122" s="41" t="inlineStr">
        <is>
          <t>up</t>
        </is>
      </c>
      <c r="D122" s="41" t="n">
        <v>30</v>
      </c>
      <c r="E122" s="48" t="n"/>
      <c r="F122" s="49" t="inlineStr">
        <is>
          <t>—</t>
        </is>
      </c>
      <c r="G122" s="50">
        <f>IF(ISNUMBER(E122),E122-IF(ISNUMBER(F122),F122,0),"")</f>
        <v/>
      </c>
      <c r="H122" s="51" t="n"/>
      <c r="I122" s="50">
        <f>IF(AND(ISNUMBER(G122),ISNUMBER(H122)),H122-G122,"")</f>
        <v/>
      </c>
      <c r="J122" s="50">
        <f>IF(ISNUMBER(I122),ABS(I122),"")</f>
        <v/>
      </c>
      <c r="K122" s="52">
        <f>IF(ISNUMBER(I122),I122^2,"")</f>
        <v/>
      </c>
    </row>
    <row r="123" ht="15" customHeight="1" s="32">
      <c r="A123" s="41" t="inlineStr">
        <is>
          <t>shoulder</t>
        </is>
      </c>
      <c r="B123" s="41" t="n">
        <v>2</v>
      </c>
      <c r="C123" s="41" t="inlineStr">
        <is>
          <t>up</t>
        </is>
      </c>
      <c r="D123" s="41" t="n">
        <v>40</v>
      </c>
      <c r="E123" s="48" t="n"/>
      <c r="F123" s="49" t="inlineStr">
        <is>
          <t>—</t>
        </is>
      </c>
      <c r="G123" s="50">
        <f>IF(ISNUMBER(E123),E123-IF(ISNUMBER(F123),F123,0),"")</f>
        <v/>
      </c>
      <c r="H123" s="51" t="n"/>
      <c r="I123" s="50">
        <f>IF(AND(ISNUMBER(G123),ISNUMBER(H123)),H123-G123,"")</f>
        <v/>
      </c>
      <c r="J123" s="50">
        <f>IF(ISNUMBER(I123),ABS(I123),"")</f>
        <v/>
      </c>
      <c r="K123" s="52">
        <f>IF(ISNUMBER(I123),I123^2,"")</f>
        <v/>
      </c>
    </row>
    <row r="124" ht="15" customHeight="1" s="32">
      <c r="A124" s="41" t="inlineStr">
        <is>
          <t>shoulder</t>
        </is>
      </c>
      <c r="B124" s="41" t="n">
        <v>2</v>
      </c>
      <c r="C124" s="41" t="inlineStr">
        <is>
          <t>up</t>
        </is>
      </c>
      <c r="D124" s="41" t="n">
        <v>50</v>
      </c>
      <c r="E124" s="48" t="n"/>
      <c r="F124" s="49" t="inlineStr">
        <is>
          <t>—</t>
        </is>
      </c>
      <c r="G124" s="50">
        <f>IF(ISNUMBER(E124),E124-IF(ISNUMBER(F124),F124,0),"")</f>
        <v/>
      </c>
      <c r="H124" s="51" t="n"/>
      <c r="I124" s="50">
        <f>IF(AND(ISNUMBER(G124),ISNUMBER(H124)),H124-G124,"")</f>
        <v/>
      </c>
      <c r="J124" s="50">
        <f>IF(ISNUMBER(I124),ABS(I124),"")</f>
        <v/>
      </c>
      <c r="K124" s="52">
        <f>IF(ISNUMBER(I124),I124^2,"")</f>
        <v/>
      </c>
    </row>
    <row r="125" ht="15" customHeight="1" s="32">
      <c r="A125" s="41" t="inlineStr">
        <is>
          <t>shoulder</t>
        </is>
      </c>
      <c r="B125" s="41" t="n">
        <v>2</v>
      </c>
      <c r="C125" s="41" t="inlineStr">
        <is>
          <t>up</t>
        </is>
      </c>
      <c r="D125" s="41" t="n">
        <v>60</v>
      </c>
      <c r="E125" s="48" t="n"/>
      <c r="F125" s="49" t="inlineStr">
        <is>
          <t>—</t>
        </is>
      </c>
      <c r="G125" s="50">
        <f>IF(ISNUMBER(E125),E125-IF(ISNUMBER(F125),F125,0),"")</f>
        <v/>
      </c>
      <c r="H125" s="51" t="n"/>
      <c r="I125" s="50">
        <f>IF(AND(ISNUMBER(G125),ISNUMBER(H125)),H125-G125,"")</f>
        <v/>
      </c>
      <c r="J125" s="50">
        <f>IF(ISNUMBER(I125),ABS(I125),"")</f>
        <v/>
      </c>
      <c r="K125" s="52">
        <f>IF(ISNUMBER(I125),I125^2,"")</f>
        <v/>
      </c>
    </row>
    <row r="126" ht="15" customHeight="1" s="32">
      <c r="A126" s="41" t="inlineStr">
        <is>
          <t>shoulder</t>
        </is>
      </c>
      <c r="B126" s="41" t="n">
        <v>2</v>
      </c>
      <c r="C126" s="41" t="inlineStr">
        <is>
          <t>up</t>
        </is>
      </c>
      <c r="D126" s="41" t="n">
        <v>70</v>
      </c>
      <c r="E126" s="48" t="n"/>
      <c r="F126" s="49" t="inlineStr">
        <is>
          <t>—</t>
        </is>
      </c>
      <c r="G126" s="50">
        <f>IF(ISNUMBER(E126),E126-IF(ISNUMBER(F126),F126,0),"")</f>
        <v/>
      </c>
      <c r="H126" s="51" t="n"/>
      <c r="I126" s="50">
        <f>IF(AND(ISNUMBER(G126),ISNUMBER(H126)),H126-G126,"")</f>
        <v/>
      </c>
      <c r="J126" s="50">
        <f>IF(ISNUMBER(I126),ABS(I126),"")</f>
        <v/>
      </c>
      <c r="K126" s="52">
        <f>IF(ISNUMBER(I126),I126^2,"")</f>
        <v/>
      </c>
    </row>
    <row r="127" ht="15" customHeight="1" s="32">
      <c r="A127" s="41" t="inlineStr">
        <is>
          <t>shoulder</t>
        </is>
      </c>
      <c r="B127" s="41" t="n">
        <v>2</v>
      </c>
      <c r="C127" s="41" t="inlineStr">
        <is>
          <t>up</t>
        </is>
      </c>
      <c r="D127" s="41" t="n">
        <v>75</v>
      </c>
      <c r="E127" s="48" t="n"/>
      <c r="F127" s="49" t="inlineStr">
        <is>
          <t>—</t>
        </is>
      </c>
      <c r="G127" s="50">
        <f>IF(ISNUMBER(E127),E127-IF(ISNUMBER(F127),F127,0),"")</f>
        <v/>
      </c>
      <c r="H127" s="51" t="n"/>
      <c r="I127" s="50">
        <f>IF(AND(ISNUMBER(G127),ISNUMBER(H127)),H127-G127,"")</f>
        <v/>
      </c>
      <c r="J127" s="50">
        <f>IF(ISNUMBER(I127),ABS(I127),"")</f>
        <v/>
      </c>
      <c r="K127" s="52">
        <f>IF(ISNUMBER(I127),I127^2,"")</f>
        <v/>
      </c>
    </row>
    <row r="128" ht="15" customHeight="1" s="32">
      <c r="A128" s="41" t="inlineStr">
        <is>
          <t>shoulder</t>
        </is>
      </c>
      <c r="B128" s="41" t="n">
        <v>2</v>
      </c>
      <c r="C128" s="41" t="inlineStr">
        <is>
          <t>down</t>
        </is>
      </c>
      <c r="D128" s="41" t="n">
        <v>75</v>
      </c>
      <c r="E128" s="48" t="n"/>
      <c r="F128" s="49" t="inlineStr">
        <is>
          <t>—</t>
        </is>
      </c>
      <c r="G128" s="50">
        <f>IF(ISNUMBER(E128),E128-IF(ISNUMBER(F128),F128,0),"")</f>
        <v/>
      </c>
      <c r="H128" s="51" t="n"/>
      <c r="I128" s="50">
        <f>IF(AND(ISNUMBER(G128),ISNUMBER(H128)),H128-G128,"")</f>
        <v/>
      </c>
      <c r="J128" s="50">
        <f>IF(ISNUMBER(I128),ABS(I128),"")</f>
        <v/>
      </c>
      <c r="K128" s="52">
        <f>IF(ISNUMBER(I128),I128^2,"")</f>
        <v/>
      </c>
    </row>
    <row r="129" ht="15" customHeight="1" s="32">
      <c r="A129" s="41" t="inlineStr">
        <is>
          <t>shoulder</t>
        </is>
      </c>
      <c r="B129" s="41" t="n">
        <v>2</v>
      </c>
      <c r="C129" s="41" t="inlineStr">
        <is>
          <t>down</t>
        </is>
      </c>
      <c r="D129" s="41" t="n">
        <v>70</v>
      </c>
      <c r="E129" s="48" t="n"/>
      <c r="F129" s="49" t="inlineStr">
        <is>
          <t>—</t>
        </is>
      </c>
      <c r="G129" s="50">
        <f>IF(ISNUMBER(E129),E129-IF(ISNUMBER(F129),F129,0),"")</f>
        <v/>
      </c>
      <c r="H129" s="51" t="n"/>
      <c r="I129" s="50">
        <f>IF(AND(ISNUMBER(G129),ISNUMBER(H129)),H129-G129,"")</f>
        <v/>
      </c>
      <c r="J129" s="50">
        <f>IF(ISNUMBER(I129),ABS(I129),"")</f>
        <v/>
      </c>
      <c r="K129" s="52">
        <f>IF(ISNUMBER(I129),I129^2,"")</f>
        <v/>
      </c>
    </row>
    <row r="130" ht="15" customHeight="1" s="32">
      <c r="A130" s="41" t="inlineStr">
        <is>
          <t>shoulder</t>
        </is>
      </c>
      <c r="B130" s="41" t="n">
        <v>2</v>
      </c>
      <c r="C130" s="41" t="inlineStr">
        <is>
          <t>down</t>
        </is>
      </c>
      <c r="D130" s="41" t="n">
        <v>60</v>
      </c>
      <c r="E130" s="48" t="n"/>
      <c r="F130" s="49" t="inlineStr">
        <is>
          <t>—</t>
        </is>
      </c>
      <c r="G130" s="50">
        <f>IF(ISNUMBER(E130),E130-IF(ISNUMBER(F130),F130,0),"")</f>
        <v/>
      </c>
      <c r="H130" s="51" t="n"/>
      <c r="I130" s="50">
        <f>IF(AND(ISNUMBER(G130),ISNUMBER(H130)),H130-G130,"")</f>
        <v/>
      </c>
      <c r="J130" s="50">
        <f>IF(ISNUMBER(I130),ABS(I130),"")</f>
        <v/>
      </c>
      <c r="K130" s="52">
        <f>IF(ISNUMBER(I130),I130^2,"")</f>
        <v/>
      </c>
    </row>
    <row r="131" ht="15" customHeight="1" s="32">
      <c r="A131" s="41" t="inlineStr">
        <is>
          <t>shoulder</t>
        </is>
      </c>
      <c r="B131" s="41" t="n">
        <v>2</v>
      </c>
      <c r="C131" s="41" t="inlineStr">
        <is>
          <t>down</t>
        </is>
      </c>
      <c r="D131" s="41" t="n">
        <v>50</v>
      </c>
      <c r="E131" s="48" t="n"/>
      <c r="F131" s="49" t="inlineStr">
        <is>
          <t>—</t>
        </is>
      </c>
      <c r="G131" s="50">
        <f>IF(ISNUMBER(E131),E131-IF(ISNUMBER(F131),F131,0),"")</f>
        <v/>
      </c>
      <c r="H131" s="51" t="n"/>
      <c r="I131" s="50">
        <f>IF(AND(ISNUMBER(G131),ISNUMBER(H131)),H131-G131,"")</f>
        <v/>
      </c>
      <c r="J131" s="50">
        <f>IF(ISNUMBER(I131),ABS(I131),"")</f>
        <v/>
      </c>
      <c r="K131" s="52">
        <f>IF(ISNUMBER(I131),I131^2,"")</f>
        <v/>
      </c>
    </row>
    <row r="132" ht="15" customHeight="1" s="32">
      <c r="A132" s="41" t="inlineStr">
        <is>
          <t>shoulder</t>
        </is>
      </c>
      <c r="B132" s="41" t="n">
        <v>2</v>
      </c>
      <c r="C132" s="41" t="inlineStr">
        <is>
          <t>down</t>
        </is>
      </c>
      <c r="D132" s="41" t="n">
        <v>40</v>
      </c>
      <c r="E132" s="48" t="n"/>
      <c r="F132" s="49" t="inlineStr">
        <is>
          <t>—</t>
        </is>
      </c>
      <c r="G132" s="50">
        <f>IF(ISNUMBER(E132),E132-IF(ISNUMBER(F132),F132,0),"")</f>
        <v/>
      </c>
      <c r="H132" s="51" t="n"/>
      <c r="I132" s="50">
        <f>IF(AND(ISNUMBER(G132),ISNUMBER(H132)),H132-G132,"")</f>
        <v/>
      </c>
      <c r="J132" s="50">
        <f>IF(ISNUMBER(I132),ABS(I132),"")</f>
        <v/>
      </c>
      <c r="K132" s="52">
        <f>IF(ISNUMBER(I132),I132^2,"")</f>
        <v/>
      </c>
    </row>
    <row r="133" ht="15" customHeight="1" s="32">
      <c r="A133" s="41" t="inlineStr">
        <is>
          <t>shoulder</t>
        </is>
      </c>
      <c r="B133" s="41" t="n">
        <v>2</v>
      </c>
      <c r="C133" s="41" t="inlineStr">
        <is>
          <t>down</t>
        </is>
      </c>
      <c r="D133" s="41" t="n">
        <v>30</v>
      </c>
      <c r="E133" s="48" t="n"/>
      <c r="F133" s="49" t="inlineStr">
        <is>
          <t>—</t>
        </is>
      </c>
      <c r="G133" s="50">
        <f>IF(ISNUMBER(E133),E133-IF(ISNUMBER(F133),F133,0),"")</f>
        <v/>
      </c>
      <c r="H133" s="51" t="n"/>
      <c r="I133" s="50">
        <f>IF(AND(ISNUMBER(G133),ISNUMBER(H133)),H133-G133,"")</f>
        <v/>
      </c>
      <c r="J133" s="50">
        <f>IF(ISNUMBER(I133),ABS(I133),"")</f>
        <v/>
      </c>
      <c r="K133" s="52">
        <f>IF(ISNUMBER(I133),I133^2,"")</f>
        <v/>
      </c>
    </row>
    <row r="134" ht="15" customHeight="1" s="32">
      <c r="A134" s="41" t="inlineStr">
        <is>
          <t>shoulder</t>
        </is>
      </c>
      <c r="B134" s="41" t="n">
        <v>2</v>
      </c>
      <c r="C134" s="41" t="inlineStr">
        <is>
          <t>down</t>
        </is>
      </c>
      <c r="D134" s="41" t="n">
        <v>20</v>
      </c>
      <c r="E134" s="48" t="n"/>
      <c r="F134" s="49" t="inlineStr">
        <is>
          <t>—</t>
        </is>
      </c>
      <c r="G134" s="50">
        <f>IF(ISNUMBER(E134),E134-IF(ISNUMBER(F134),F134,0),"")</f>
        <v/>
      </c>
      <c r="H134" s="51" t="n"/>
      <c r="I134" s="50">
        <f>IF(AND(ISNUMBER(G134),ISNUMBER(H134)),H134-G134,"")</f>
        <v/>
      </c>
      <c r="J134" s="50">
        <f>IF(ISNUMBER(I134),ABS(I134),"")</f>
        <v/>
      </c>
      <c r="K134" s="52">
        <f>IF(ISNUMBER(I134),I134^2,"")</f>
        <v/>
      </c>
    </row>
    <row r="135" ht="15" customHeight="1" s="32">
      <c r="A135" s="41" t="inlineStr">
        <is>
          <t>shoulder</t>
        </is>
      </c>
      <c r="B135" s="41" t="n">
        <v>2</v>
      </c>
      <c r="C135" s="41" t="inlineStr">
        <is>
          <t>down</t>
        </is>
      </c>
      <c r="D135" s="41" t="n">
        <v>10</v>
      </c>
      <c r="E135" s="48" t="n"/>
      <c r="F135" s="49" t="inlineStr">
        <is>
          <t>—</t>
        </is>
      </c>
      <c r="G135" s="50">
        <f>IF(ISNUMBER(E135),E135-IF(ISNUMBER(F135),F135,0),"")</f>
        <v/>
      </c>
      <c r="H135" s="51" t="n"/>
      <c r="I135" s="50">
        <f>IF(AND(ISNUMBER(G135),ISNUMBER(H135)),H135-G135,"")</f>
        <v/>
      </c>
      <c r="J135" s="50">
        <f>IF(ISNUMBER(I135),ABS(I135),"")</f>
        <v/>
      </c>
      <c r="K135" s="52">
        <f>IF(ISNUMBER(I135),I135^2,"")</f>
        <v/>
      </c>
    </row>
    <row r="136" ht="15" customHeight="1" s="32">
      <c r="A136" s="41" t="inlineStr">
        <is>
          <t>shoulder</t>
        </is>
      </c>
      <c r="B136" s="41" t="n">
        <v>2</v>
      </c>
      <c r="C136" s="41" t="inlineStr">
        <is>
          <t>down</t>
        </is>
      </c>
      <c r="D136" s="41" t="n">
        <v>0</v>
      </c>
      <c r="E136" s="48" t="n"/>
      <c r="F136" s="49" t="inlineStr">
        <is>
          <t>—</t>
        </is>
      </c>
      <c r="G136" s="50">
        <f>IF(ISNUMBER(E136),E136-IF(ISNUMBER(F136),F136,0),"")</f>
        <v/>
      </c>
      <c r="H136" s="51" t="n"/>
      <c r="I136" s="50">
        <f>IF(AND(ISNUMBER(G136),ISNUMBER(H136)),H136-G136,"")</f>
        <v/>
      </c>
      <c r="J136" s="50">
        <f>IF(ISNUMBER(I136),ABS(I136),"")</f>
        <v/>
      </c>
      <c r="K136" s="52">
        <f>IF(ISNUMBER(I136),I136^2,"")</f>
        <v/>
      </c>
    </row>
    <row r="137" ht="15" customHeight="1" s="32">
      <c r="A137" s="41" t="inlineStr">
        <is>
          <t>shoulder</t>
        </is>
      </c>
      <c r="B137" s="41" t="n">
        <v>2</v>
      </c>
      <c r="C137" s="41" t="inlineStr">
        <is>
          <t>down</t>
        </is>
      </c>
      <c r="D137" s="41" t="n">
        <v>-10</v>
      </c>
      <c r="E137" s="48" t="n"/>
      <c r="F137" s="49" t="inlineStr">
        <is>
          <t>—</t>
        </is>
      </c>
      <c r="G137" s="50">
        <f>IF(ISNUMBER(E137),E137-IF(ISNUMBER(F137),F137,0),"")</f>
        <v/>
      </c>
      <c r="H137" s="51" t="n"/>
      <c r="I137" s="50">
        <f>IF(AND(ISNUMBER(G137),ISNUMBER(H137)),H137-G137,"")</f>
        <v/>
      </c>
      <c r="J137" s="50">
        <f>IF(ISNUMBER(I137),ABS(I137),"")</f>
        <v/>
      </c>
      <c r="K137" s="52">
        <f>IF(ISNUMBER(I137),I137^2,"")</f>
        <v/>
      </c>
    </row>
    <row r="138" ht="15" customHeight="1" s="32">
      <c r="A138" s="41" t="inlineStr">
        <is>
          <t>shoulder</t>
        </is>
      </c>
      <c r="B138" s="41" t="n">
        <v>2</v>
      </c>
      <c r="C138" s="41" t="inlineStr">
        <is>
          <t>down</t>
        </is>
      </c>
      <c r="D138" s="41" t="n">
        <v>-20</v>
      </c>
      <c r="E138" s="48" t="n"/>
      <c r="F138" s="49" t="inlineStr">
        <is>
          <t>—</t>
        </is>
      </c>
      <c r="G138" s="50">
        <f>IF(ISNUMBER(E138),E138-IF(ISNUMBER(F138),F138,0),"")</f>
        <v/>
      </c>
      <c r="H138" s="51" t="n"/>
      <c r="I138" s="50">
        <f>IF(AND(ISNUMBER(G138),ISNUMBER(H138)),H138-G138,"")</f>
        <v/>
      </c>
      <c r="J138" s="50">
        <f>IF(ISNUMBER(I138),ABS(I138),"")</f>
        <v/>
      </c>
      <c r="K138" s="52">
        <f>IF(ISNUMBER(I138),I138^2,"")</f>
        <v/>
      </c>
    </row>
    <row r="139" ht="15" customHeight="1" s="32">
      <c r="A139" s="41" t="inlineStr">
        <is>
          <t>shoulder</t>
        </is>
      </c>
      <c r="B139" s="41" t="n">
        <v>2</v>
      </c>
      <c r="C139" s="41" t="inlineStr">
        <is>
          <t>down</t>
        </is>
      </c>
      <c r="D139" s="41" t="n">
        <v>-30</v>
      </c>
      <c r="E139" s="48" t="n"/>
      <c r="F139" s="49" t="inlineStr">
        <is>
          <t>—</t>
        </is>
      </c>
      <c r="G139" s="50">
        <f>IF(ISNUMBER(E139),E139-IF(ISNUMBER(F139),F139,0),"")</f>
        <v/>
      </c>
      <c r="H139" s="51" t="n"/>
      <c r="I139" s="50">
        <f>IF(AND(ISNUMBER(G139),ISNUMBER(H139)),H139-G139,"")</f>
        <v/>
      </c>
      <c r="J139" s="50">
        <f>IF(ISNUMBER(I139),ABS(I139),"")</f>
        <v/>
      </c>
      <c r="K139" s="52">
        <f>IF(ISNUMBER(I139),I139^2,"")</f>
        <v/>
      </c>
    </row>
    <row r="140" ht="15" customHeight="1" s="32">
      <c r="A140" s="41" t="inlineStr">
        <is>
          <t>shoulder</t>
        </is>
      </c>
      <c r="B140" s="41" t="n">
        <v>3</v>
      </c>
      <c r="C140" s="41" t="inlineStr">
        <is>
          <t>up</t>
        </is>
      </c>
      <c r="D140" s="41" t="n">
        <v>-30</v>
      </c>
      <c r="E140" s="48" t="n"/>
      <c r="F140" s="49" t="inlineStr">
        <is>
          <t>—</t>
        </is>
      </c>
      <c r="G140" s="50">
        <f>IF(ISNUMBER(E140),E140-IF(ISNUMBER(F140),F140,0),"")</f>
        <v/>
      </c>
      <c r="H140" s="51" t="n"/>
      <c r="I140" s="50">
        <f>IF(AND(ISNUMBER(G140),ISNUMBER(H140)),H140-G140,"")</f>
        <v/>
      </c>
      <c r="J140" s="50">
        <f>IF(ISNUMBER(I140),ABS(I140),"")</f>
        <v/>
      </c>
      <c r="K140" s="52">
        <f>IF(ISNUMBER(I140),I140^2,"")</f>
        <v/>
      </c>
    </row>
    <row r="141" ht="15" customHeight="1" s="32">
      <c r="A141" s="41" t="inlineStr">
        <is>
          <t>shoulder</t>
        </is>
      </c>
      <c r="B141" s="41" t="n">
        <v>3</v>
      </c>
      <c r="C141" s="41" t="inlineStr">
        <is>
          <t>up</t>
        </is>
      </c>
      <c r="D141" s="41" t="n">
        <v>-20</v>
      </c>
      <c r="E141" s="48" t="n"/>
      <c r="F141" s="49" t="inlineStr">
        <is>
          <t>—</t>
        </is>
      </c>
      <c r="G141" s="50">
        <f>IF(ISNUMBER(E141),E141-IF(ISNUMBER(F141),F141,0),"")</f>
        <v/>
      </c>
      <c r="H141" s="51" t="n"/>
      <c r="I141" s="50">
        <f>IF(AND(ISNUMBER(G141),ISNUMBER(H141)),H141-G141,"")</f>
        <v/>
      </c>
      <c r="J141" s="50">
        <f>IF(ISNUMBER(I141),ABS(I141),"")</f>
        <v/>
      </c>
      <c r="K141" s="52">
        <f>IF(ISNUMBER(I141),I141^2,"")</f>
        <v/>
      </c>
    </row>
    <row r="142" ht="15" customHeight="1" s="32">
      <c r="A142" s="41" t="inlineStr">
        <is>
          <t>shoulder</t>
        </is>
      </c>
      <c r="B142" s="41" t="n">
        <v>3</v>
      </c>
      <c r="C142" s="41" t="inlineStr">
        <is>
          <t>up</t>
        </is>
      </c>
      <c r="D142" s="41" t="n">
        <v>-10</v>
      </c>
      <c r="E142" s="48" t="n"/>
      <c r="F142" s="49" t="inlineStr">
        <is>
          <t>—</t>
        </is>
      </c>
      <c r="G142" s="50">
        <f>IF(ISNUMBER(E142),E142-IF(ISNUMBER(F142),F142,0),"")</f>
        <v/>
      </c>
      <c r="H142" s="51" t="n"/>
      <c r="I142" s="50">
        <f>IF(AND(ISNUMBER(G142),ISNUMBER(H142)),H142-G142,"")</f>
        <v/>
      </c>
      <c r="J142" s="50">
        <f>IF(ISNUMBER(I142),ABS(I142),"")</f>
        <v/>
      </c>
      <c r="K142" s="52">
        <f>IF(ISNUMBER(I142),I142^2,"")</f>
        <v/>
      </c>
    </row>
    <row r="143" ht="15" customHeight="1" s="32">
      <c r="A143" s="41" t="inlineStr">
        <is>
          <t>shoulder</t>
        </is>
      </c>
      <c r="B143" s="41" t="n">
        <v>3</v>
      </c>
      <c r="C143" s="41" t="inlineStr">
        <is>
          <t>up</t>
        </is>
      </c>
      <c r="D143" s="41" t="n">
        <v>0</v>
      </c>
      <c r="E143" s="48" t="n"/>
      <c r="F143" s="49" t="inlineStr">
        <is>
          <t>—</t>
        </is>
      </c>
      <c r="G143" s="50">
        <f>IF(ISNUMBER(E143),E143-IF(ISNUMBER(F143),F143,0),"")</f>
        <v/>
      </c>
      <c r="H143" s="51" t="n"/>
      <c r="I143" s="50">
        <f>IF(AND(ISNUMBER(G143),ISNUMBER(H143)),H143-G143,"")</f>
        <v/>
      </c>
      <c r="J143" s="50">
        <f>IF(ISNUMBER(I143),ABS(I143),"")</f>
        <v/>
      </c>
      <c r="K143" s="52">
        <f>IF(ISNUMBER(I143),I143^2,"")</f>
        <v/>
      </c>
    </row>
    <row r="144" ht="15" customHeight="1" s="32">
      <c r="A144" s="41" t="inlineStr">
        <is>
          <t>shoulder</t>
        </is>
      </c>
      <c r="B144" s="41" t="n">
        <v>3</v>
      </c>
      <c r="C144" s="41" t="inlineStr">
        <is>
          <t>up</t>
        </is>
      </c>
      <c r="D144" s="41" t="n">
        <v>10</v>
      </c>
      <c r="E144" s="48" t="n"/>
      <c r="F144" s="49" t="inlineStr">
        <is>
          <t>—</t>
        </is>
      </c>
      <c r="G144" s="50">
        <f>IF(ISNUMBER(E144),E144-IF(ISNUMBER(F144),F144,0),"")</f>
        <v/>
      </c>
      <c r="H144" s="51" t="n"/>
      <c r="I144" s="50">
        <f>IF(AND(ISNUMBER(G144),ISNUMBER(H144)),H144-G144,"")</f>
        <v/>
      </c>
      <c r="J144" s="50">
        <f>IF(ISNUMBER(I144),ABS(I144),"")</f>
        <v/>
      </c>
      <c r="K144" s="52">
        <f>IF(ISNUMBER(I144),I144^2,"")</f>
        <v/>
      </c>
    </row>
    <row r="145" ht="15" customHeight="1" s="32">
      <c r="A145" s="41" t="inlineStr">
        <is>
          <t>shoulder</t>
        </is>
      </c>
      <c r="B145" s="41" t="n">
        <v>3</v>
      </c>
      <c r="C145" s="41" t="inlineStr">
        <is>
          <t>up</t>
        </is>
      </c>
      <c r="D145" s="41" t="n">
        <v>20</v>
      </c>
      <c r="E145" s="48" t="n"/>
      <c r="F145" s="49" t="inlineStr">
        <is>
          <t>—</t>
        </is>
      </c>
      <c r="G145" s="50">
        <f>IF(ISNUMBER(E145),E145-IF(ISNUMBER(F145),F145,0),"")</f>
        <v/>
      </c>
      <c r="H145" s="51" t="n"/>
      <c r="I145" s="50">
        <f>IF(AND(ISNUMBER(G145),ISNUMBER(H145)),H145-G145,"")</f>
        <v/>
      </c>
      <c r="J145" s="50">
        <f>IF(ISNUMBER(I145),ABS(I145),"")</f>
        <v/>
      </c>
      <c r="K145" s="52">
        <f>IF(ISNUMBER(I145),I145^2,"")</f>
        <v/>
      </c>
    </row>
    <row r="146" ht="15" customHeight="1" s="32">
      <c r="A146" s="41" t="inlineStr">
        <is>
          <t>shoulder</t>
        </is>
      </c>
      <c r="B146" s="41" t="n">
        <v>3</v>
      </c>
      <c r="C146" s="41" t="inlineStr">
        <is>
          <t>up</t>
        </is>
      </c>
      <c r="D146" s="41" t="n">
        <v>30</v>
      </c>
      <c r="E146" s="48" t="n"/>
      <c r="F146" s="49" t="inlineStr">
        <is>
          <t>—</t>
        </is>
      </c>
      <c r="G146" s="50">
        <f>IF(ISNUMBER(E146),E146-IF(ISNUMBER(F146),F146,0),"")</f>
        <v/>
      </c>
      <c r="H146" s="51" t="n"/>
      <c r="I146" s="50">
        <f>IF(AND(ISNUMBER(G146),ISNUMBER(H146)),H146-G146,"")</f>
        <v/>
      </c>
      <c r="J146" s="50">
        <f>IF(ISNUMBER(I146),ABS(I146),"")</f>
        <v/>
      </c>
      <c r="K146" s="52">
        <f>IF(ISNUMBER(I146),I146^2,"")</f>
        <v/>
      </c>
    </row>
    <row r="147" ht="15" customHeight="1" s="32">
      <c r="A147" s="41" t="inlineStr">
        <is>
          <t>shoulder</t>
        </is>
      </c>
      <c r="B147" s="41" t="n">
        <v>3</v>
      </c>
      <c r="C147" s="41" t="inlineStr">
        <is>
          <t>up</t>
        </is>
      </c>
      <c r="D147" s="41" t="n">
        <v>40</v>
      </c>
      <c r="E147" s="48" t="n"/>
      <c r="F147" s="49" t="inlineStr">
        <is>
          <t>—</t>
        </is>
      </c>
      <c r="G147" s="50">
        <f>IF(ISNUMBER(E147),E147-IF(ISNUMBER(F147),F147,0),"")</f>
        <v/>
      </c>
      <c r="H147" s="51" t="n"/>
      <c r="I147" s="50">
        <f>IF(AND(ISNUMBER(G147),ISNUMBER(H147)),H147-G147,"")</f>
        <v/>
      </c>
      <c r="J147" s="50">
        <f>IF(ISNUMBER(I147),ABS(I147),"")</f>
        <v/>
      </c>
      <c r="K147" s="52">
        <f>IF(ISNUMBER(I147),I147^2,"")</f>
        <v/>
      </c>
    </row>
    <row r="148" ht="15" customHeight="1" s="32">
      <c r="A148" s="41" t="inlineStr">
        <is>
          <t>shoulder</t>
        </is>
      </c>
      <c r="B148" s="41" t="n">
        <v>3</v>
      </c>
      <c r="C148" s="41" t="inlineStr">
        <is>
          <t>up</t>
        </is>
      </c>
      <c r="D148" s="41" t="n">
        <v>50</v>
      </c>
      <c r="E148" s="48" t="n"/>
      <c r="F148" s="49" t="inlineStr">
        <is>
          <t>—</t>
        </is>
      </c>
      <c r="G148" s="50">
        <f>IF(ISNUMBER(E148),E148-IF(ISNUMBER(F148),F148,0),"")</f>
        <v/>
      </c>
      <c r="H148" s="51" t="n"/>
      <c r="I148" s="50">
        <f>IF(AND(ISNUMBER(G148),ISNUMBER(H148)),H148-G148,"")</f>
        <v/>
      </c>
      <c r="J148" s="50">
        <f>IF(ISNUMBER(I148),ABS(I148),"")</f>
        <v/>
      </c>
      <c r="K148" s="52">
        <f>IF(ISNUMBER(I148),I148^2,"")</f>
        <v/>
      </c>
    </row>
    <row r="149" ht="15" customHeight="1" s="32">
      <c r="A149" s="41" t="inlineStr">
        <is>
          <t>shoulder</t>
        </is>
      </c>
      <c r="B149" s="41" t="n">
        <v>3</v>
      </c>
      <c r="C149" s="41" t="inlineStr">
        <is>
          <t>up</t>
        </is>
      </c>
      <c r="D149" s="41" t="n">
        <v>60</v>
      </c>
      <c r="E149" s="48" t="n"/>
      <c r="F149" s="49" t="inlineStr">
        <is>
          <t>—</t>
        </is>
      </c>
      <c r="G149" s="50">
        <f>IF(ISNUMBER(E149),E149-IF(ISNUMBER(F149),F149,0),"")</f>
        <v/>
      </c>
      <c r="H149" s="51" t="n"/>
      <c r="I149" s="50">
        <f>IF(AND(ISNUMBER(G149),ISNUMBER(H149)),H149-G149,"")</f>
        <v/>
      </c>
      <c r="J149" s="50">
        <f>IF(ISNUMBER(I149),ABS(I149),"")</f>
        <v/>
      </c>
      <c r="K149" s="52">
        <f>IF(ISNUMBER(I149),I149^2,"")</f>
        <v/>
      </c>
    </row>
    <row r="150" ht="15" customHeight="1" s="32">
      <c r="A150" s="41" t="inlineStr">
        <is>
          <t>shoulder</t>
        </is>
      </c>
      <c r="B150" s="41" t="n">
        <v>3</v>
      </c>
      <c r="C150" s="41" t="inlineStr">
        <is>
          <t>up</t>
        </is>
      </c>
      <c r="D150" s="41" t="n">
        <v>70</v>
      </c>
      <c r="E150" s="48" t="n"/>
      <c r="F150" s="49" t="inlineStr">
        <is>
          <t>—</t>
        </is>
      </c>
      <c r="G150" s="50">
        <f>IF(ISNUMBER(E150),E150-IF(ISNUMBER(F150),F150,0),"")</f>
        <v/>
      </c>
      <c r="H150" s="51" t="n"/>
      <c r="I150" s="50">
        <f>IF(AND(ISNUMBER(G150),ISNUMBER(H150)),H150-G150,"")</f>
        <v/>
      </c>
      <c r="J150" s="50">
        <f>IF(ISNUMBER(I150),ABS(I150),"")</f>
        <v/>
      </c>
      <c r="K150" s="52">
        <f>IF(ISNUMBER(I150),I150^2,"")</f>
        <v/>
      </c>
    </row>
    <row r="151" ht="15" customHeight="1" s="32">
      <c r="A151" s="41" t="inlineStr">
        <is>
          <t>shoulder</t>
        </is>
      </c>
      <c r="B151" s="41" t="n">
        <v>3</v>
      </c>
      <c r="C151" s="41" t="inlineStr">
        <is>
          <t>up</t>
        </is>
      </c>
      <c r="D151" s="41" t="n">
        <v>75</v>
      </c>
      <c r="E151" s="48" t="n"/>
      <c r="F151" s="49" t="inlineStr">
        <is>
          <t>—</t>
        </is>
      </c>
      <c r="G151" s="50">
        <f>IF(ISNUMBER(E151),E151-IF(ISNUMBER(F151),F151,0),"")</f>
        <v/>
      </c>
      <c r="H151" s="51" t="n"/>
      <c r="I151" s="50">
        <f>IF(AND(ISNUMBER(G151),ISNUMBER(H151)),H151-G151,"")</f>
        <v/>
      </c>
      <c r="J151" s="50">
        <f>IF(ISNUMBER(I151),ABS(I151),"")</f>
        <v/>
      </c>
      <c r="K151" s="52">
        <f>IF(ISNUMBER(I151),I151^2,"")</f>
        <v/>
      </c>
    </row>
    <row r="152" ht="15" customHeight="1" s="32">
      <c r="A152" s="41" t="inlineStr">
        <is>
          <t>shoulder</t>
        </is>
      </c>
      <c r="B152" s="41" t="n">
        <v>3</v>
      </c>
      <c r="C152" s="41" t="inlineStr">
        <is>
          <t>down</t>
        </is>
      </c>
      <c r="D152" s="41" t="n">
        <v>75</v>
      </c>
      <c r="E152" s="48" t="n"/>
      <c r="F152" s="49" t="inlineStr">
        <is>
          <t>—</t>
        </is>
      </c>
      <c r="G152" s="50">
        <f>IF(ISNUMBER(E152),E152-IF(ISNUMBER(F152),F152,0),"")</f>
        <v/>
      </c>
      <c r="H152" s="51" t="n"/>
      <c r="I152" s="50">
        <f>IF(AND(ISNUMBER(G152),ISNUMBER(H152)),H152-G152,"")</f>
        <v/>
      </c>
      <c r="J152" s="50">
        <f>IF(ISNUMBER(I152),ABS(I152),"")</f>
        <v/>
      </c>
      <c r="K152" s="52">
        <f>IF(ISNUMBER(I152),I152^2,"")</f>
        <v/>
      </c>
    </row>
    <row r="153" ht="15" customHeight="1" s="32">
      <c r="A153" s="41" t="inlineStr">
        <is>
          <t>shoulder</t>
        </is>
      </c>
      <c r="B153" s="41" t="n">
        <v>3</v>
      </c>
      <c r="C153" s="41" t="inlineStr">
        <is>
          <t>down</t>
        </is>
      </c>
      <c r="D153" s="41" t="n">
        <v>70</v>
      </c>
      <c r="E153" s="48" t="n"/>
      <c r="F153" s="49" t="inlineStr">
        <is>
          <t>—</t>
        </is>
      </c>
      <c r="G153" s="50">
        <f>IF(ISNUMBER(E153),E153-IF(ISNUMBER(F153),F153,0),"")</f>
        <v/>
      </c>
      <c r="H153" s="51" t="n"/>
      <c r="I153" s="50">
        <f>IF(AND(ISNUMBER(G153),ISNUMBER(H153)),H153-G153,"")</f>
        <v/>
      </c>
      <c r="J153" s="50">
        <f>IF(ISNUMBER(I153),ABS(I153),"")</f>
        <v/>
      </c>
      <c r="K153" s="52">
        <f>IF(ISNUMBER(I153),I153^2,"")</f>
        <v/>
      </c>
    </row>
    <row r="154" ht="15" customHeight="1" s="32">
      <c r="A154" s="41" t="inlineStr">
        <is>
          <t>shoulder</t>
        </is>
      </c>
      <c r="B154" s="41" t="n">
        <v>3</v>
      </c>
      <c r="C154" s="41" t="inlineStr">
        <is>
          <t>down</t>
        </is>
      </c>
      <c r="D154" s="41" t="n">
        <v>60</v>
      </c>
      <c r="E154" s="48" t="n"/>
      <c r="F154" s="49" t="inlineStr">
        <is>
          <t>—</t>
        </is>
      </c>
      <c r="G154" s="50">
        <f>IF(ISNUMBER(E154),E154-IF(ISNUMBER(F154),F154,0),"")</f>
        <v/>
      </c>
      <c r="H154" s="51" t="n"/>
      <c r="I154" s="50">
        <f>IF(AND(ISNUMBER(G154),ISNUMBER(H154)),H154-G154,"")</f>
        <v/>
      </c>
      <c r="J154" s="50">
        <f>IF(ISNUMBER(I154),ABS(I154),"")</f>
        <v/>
      </c>
      <c r="K154" s="52">
        <f>IF(ISNUMBER(I154),I154^2,"")</f>
        <v/>
      </c>
    </row>
    <row r="155" ht="15" customHeight="1" s="32">
      <c r="A155" s="41" t="inlineStr">
        <is>
          <t>shoulder</t>
        </is>
      </c>
      <c r="B155" s="41" t="n">
        <v>3</v>
      </c>
      <c r="C155" s="41" t="inlineStr">
        <is>
          <t>down</t>
        </is>
      </c>
      <c r="D155" s="41" t="n">
        <v>50</v>
      </c>
      <c r="E155" s="48" t="n"/>
      <c r="F155" s="49" t="inlineStr">
        <is>
          <t>—</t>
        </is>
      </c>
      <c r="G155" s="50">
        <f>IF(ISNUMBER(E155),E155-IF(ISNUMBER(F155),F155,0),"")</f>
        <v/>
      </c>
      <c r="H155" s="51" t="n"/>
      <c r="I155" s="50">
        <f>IF(AND(ISNUMBER(G155),ISNUMBER(H155)),H155-G155,"")</f>
        <v/>
      </c>
      <c r="J155" s="50">
        <f>IF(ISNUMBER(I155),ABS(I155),"")</f>
        <v/>
      </c>
      <c r="K155" s="52">
        <f>IF(ISNUMBER(I155),I155^2,"")</f>
        <v/>
      </c>
    </row>
    <row r="156" ht="15" customHeight="1" s="32">
      <c r="A156" s="41" t="inlineStr">
        <is>
          <t>shoulder</t>
        </is>
      </c>
      <c r="B156" s="41" t="n">
        <v>3</v>
      </c>
      <c r="C156" s="41" t="inlineStr">
        <is>
          <t>down</t>
        </is>
      </c>
      <c r="D156" s="41" t="n">
        <v>40</v>
      </c>
      <c r="E156" s="48" t="n"/>
      <c r="F156" s="49" t="inlineStr">
        <is>
          <t>—</t>
        </is>
      </c>
      <c r="G156" s="50">
        <f>IF(ISNUMBER(E156),E156-IF(ISNUMBER(F156),F156,0),"")</f>
        <v/>
      </c>
      <c r="H156" s="51" t="n"/>
      <c r="I156" s="50">
        <f>IF(AND(ISNUMBER(G156),ISNUMBER(H156)),H156-G156,"")</f>
        <v/>
      </c>
      <c r="J156" s="50">
        <f>IF(ISNUMBER(I156),ABS(I156),"")</f>
        <v/>
      </c>
      <c r="K156" s="52">
        <f>IF(ISNUMBER(I156),I156^2,"")</f>
        <v/>
      </c>
    </row>
    <row r="157" ht="15" customHeight="1" s="32">
      <c r="A157" s="41" t="inlineStr">
        <is>
          <t>shoulder</t>
        </is>
      </c>
      <c r="B157" s="41" t="n">
        <v>3</v>
      </c>
      <c r="C157" s="41" t="inlineStr">
        <is>
          <t>down</t>
        </is>
      </c>
      <c r="D157" s="41" t="n">
        <v>30</v>
      </c>
      <c r="E157" s="48" t="n"/>
      <c r="F157" s="49" t="inlineStr">
        <is>
          <t>—</t>
        </is>
      </c>
      <c r="G157" s="50">
        <f>IF(ISNUMBER(E157),E157-IF(ISNUMBER(F157),F157,0),"")</f>
        <v/>
      </c>
      <c r="H157" s="51" t="n"/>
      <c r="I157" s="50">
        <f>IF(AND(ISNUMBER(G157),ISNUMBER(H157)),H157-G157,"")</f>
        <v/>
      </c>
      <c r="J157" s="50">
        <f>IF(ISNUMBER(I157),ABS(I157),"")</f>
        <v/>
      </c>
      <c r="K157" s="52">
        <f>IF(ISNUMBER(I157),I157^2,"")</f>
        <v/>
      </c>
    </row>
    <row r="158" ht="15" customHeight="1" s="32">
      <c r="A158" s="41" t="inlineStr">
        <is>
          <t>shoulder</t>
        </is>
      </c>
      <c r="B158" s="41" t="n">
        <v>3</v>
      </c>
      <c r="C158" s="41" t="inlineStr">
        <is>
          <t>down</t>
        </is>
      </c>
      <c r="D158" s="41" t="n">
        <v>20</v>
      </c>
      <c r="E158" s="48" t="n"/>
      <c r="F158" s="49" t="inlineStr">
        <is>
          <t>—</t>
        </is>
      </c>
      <c r="G158" s="50">
        <f>IF(ISNUMBER(E158),E158-IF(ISNUMBER(F158),F158,0),"")</f>
        <v/>
      </c>
      <c r="H158" s="51" t="n"/>
      <c r="I158" s="50">
        <f>IF(AND(ISNUMBER(G158),ISNUMBER(H158)),H158-G158,"")</f>
        <v/>
      </c>
      <c r="J158" s="50">
        <f>IF(ISNUMBER(I158),ABS(I158),"")</f>
        <v/>
      </c>
      <c r="K158" s="52">
        <f>IF(ISNUMBER(I158),I158^2,"")</f>
        <v/>
      </c>
    </row>
    <row r="159" ht="15" customHeight="1" s="32">
      <c r="A159" s="41" t="inlineStr">
        <is>
          <t>shoulder</t>
        </is>
      </c>
      <c r="B159" s="41" t="n">
        <v>3</v>
      </c>
      <c r="C159" s="41" t="inlineStr">
        <is>
          <t>down</t>
        </is>
      </c>
      <c r="D159" s="41" t="n">
        <v>10</v>
      </c>
      <c r="E159" s="48" t="n"/>
      <c r="F159" s="49" t="inlineStr">
        <is>
          <t>—</t>
        </is>
      </c>
      <c r="G159" s="50">
        <f>IF(ISNUMBER(E159),E159-IF(ISNUMBER(F159),F159,0),"")</f>
        <v/>
      </c>
      <c r="H159" s="51" t="n"/>
      <c r="I159" s="50">
        <f>IF(AND(ISNUMBER(G159),ISNUMBER(H159)),H159-G159,"")</f>
        <v/>
      </c>
      <c r="J159" s="50">
        <f>IF(ISNUMBER(I159),ABS(I159),"")</f>
        <v/>
      </c>
      <c r="K159" s="52">
        <f>IF(ISNUMBER(I159),I159^2,"")</f>
        <v/>
      </c>
    </row>
    <row r="160" ht="15" customHeight="1" s="32">
      <c r="A160" s="41" t="inlineStr">
        <is>
          <t>shoulder</t>
        </is>
      </c>
      <c r="B160" s="41" t="n">
        <v>3</v>
      </c>
      <c r="C160" s="41" t="inlineStr">
        <is>
          <t>down</t>
        </is>
      </c>
      <c r="D160" s="41" t="n">
        <v>0</v>
      </c>
      <c r="E160" s="48" t="n"/>
      <c r="F160" s="49" t="inlineStr">
        <is>
          <t>—</t>
        </is>
      </c>
      <c r="G160" s="50">
        <f>IF(ISNUMBER(E160),E160-IF(ISNUMBER(F160),F160,0),"")</f>
        <v/>
      </c>
      <c r="H160" s="51" t="n"/>
      <c r="I160" s="50">
        <f>IF(AND(ISNUMBER(G160),ISNUMBER(H160)),H160-G160,"")</f>
        <v/>
      </c>
      <c r="J160" s="50">
        <f>IF(ISNUMBER(I160),ABS(I160),"")</f>
        <v/>
      </c>
      <c r="K160" s="52">
        <f>IF(ISNUMBER(I160),I160^2,"")</f>
        <v/>
      </c>
    </row>
    <row r="161" ht="15" customHeight="1" s="32">
      <c r="A161" s="41" t="inlineStr">
        <is>
          <t>shoulder</t>
        </is>
      </c>
      <c r="B161" s="41" t="n">
        <v>3</v>
      </c>
      <c r="C161" s="41" t="inlineStr">
        <is>
          <t>down</t>
        </is>
      </c>
      <c r="D161" s="41" t="n">
        <v>-10</v>
      </c>
      <c r="E161" s="48" t="n"/>
      <c r="F161" s="49" t="inlineStr">
        <is>
          <t>—</t>
        </is>
      </c>
      <c r="G161" s="50">
        <f>IF(ISNUMBER(E161),E161-IF(ISNUMBER(F161),F161,0),"")</f>
        <v/>
      </c>
      <c r="H161" s="51" t="n"/>
      <c r="I161" s="50">
        <f>IF(AND(ISNUMBER(G161),ISNUMBER(H161)),H161-G161,"")</f>
        <v/>
      </c>
      <c r="J161" s="50">
        <f>IF(ISNUMBER(I161),ABS(I161),"")</f>
        <v/>
      </c>
      <c r="K161" s="52">
        <f>IF(ISNUMBER(I161),I161^2,"")</f>
        <v/>
      </c>
    </row>
    <row r="162" ht="15" customHeight="1" s="32">
      <c r="A162" s="41" t="inlineStr">
        <is>
          <t>shoulder</t>
        </is>
      </c>
      <c r="B162" s="41" t="n">
        <v>3</v>
      </c>
      <c r="C162" s="41" t="inlineStr">
        <is>
          <t>down</t>
        </is>
      </c>
      <c r="D162" s="41" t="n">
        <v>-20</v>
      </c>
      <c r="E162" s="48" t="n"/>
      <c r="F162" s="49" t="inlineStr">
        <is>
          <t>—</t>
        </is>
      </c>
      <c r="G162" s="50">
        <f>IF(ISNUMBER(E162),E162-IF(ISNUMBER(F162),F162,0),"")</f>
        <v/>
      </c>
      <c r="H162" s="51" t="n"/>
      <c r="I162" s="50">
        <f>IF(AND(ISNUMBER(G162),ISNUMBER(H162)),H162-G162,"")</f>
        <v/>
      </c>
      <c r="J162" s="50">
        <f>IF(ISNUMBER(I162),ABS(I162),"")</f>
        <v/>
      </c>
      <c r="K162" s="52">
        <f>IF(ISNUMBER(I162),I162^2,"")</f>
        <v/>
      </c>
    </row>
    <row r="163" ht="15" customHeight="1" s="32">
      <c r="A163" s="41" t="inlineStr">
        <is>
          <t>shoulder</t>
        </is>
      </c>
      <c r="B163" s="41" t="n">
        <v>3</v>
      </c>
      <c r="C163" s="41" t="inlineStr">
        <is>
          <t>down</t>
        </is>
      </c>
      <c r="D163" s="41" t="n">
        <v>-30</v>
      </c>
      <c r="E163" s="48" t="n"/>
      <c r="F163" s="49" t="inlineStr">
        <is>
          <t>—</t>
        </is>
      </c>
      <c r="G163" s="50">
        <f>IF(ISNUMBER(E163),E163-IF(ISNUMBER(F163),F163,0),"")</f>
        <v/>
      </c>
      <c r="H163" s="51" t="n"/>
      <c r="I163" s="50">
        <f>IF(AND(ISNUMBER(G163),ISNUMBER(H163)),H163-G163,"")</f>
        <v/>
      </c>
      <c r="J163" s="50">
        <f>IF(ISNUMBER(I163),ABS(I163),"")</f>
        <v/>
      </c>
      <c r="K163" s="52">
        <f>IF(ISNUMBER(I163),I163^2,"")</f>
        <v/>
      </c>
    </row>
    <row r="164" ht="15" customHeight="1" s="32">
      <c r="A164" s="41" t="inlineStr">
        <is>
          <t>elbow</t>
        </is>
      </c>
      <c r="B164" s="41" t="n">
        <v>1</v>
      </c>
      <c r="C164" s="41" t="inlineStr">
        <is>
          <t>up</t>
        </is>
      </c>
      <c r="D164" s="41" t="n">
        <v>-90</v>
      </c>
      <c r="E164" s="48" t="n">
        <v>-59.9</v>
      </c>
      <c r="F164" s="48" t="n">
        <v>30.3</v>
      </c>
      <c r="G164" s="50">
        <f>IF(ISNUMBER(E164),E164-IF(ISNUMBER(F164),F164,0),"")</f>
        <v/>
      </c>
      <c r="H164" s="51" t="n">
        <v>-89.91</v>
      </c>
      <c r="I164" s="50">
        <f>IF(AND(ISNUMBER(G164),ISNUMBER(H164)),H164-G164,"")</f>
        <v/>
      </c>
      <c r="J164" s="50">
        <f>IF(ISNUMBER(I164),ABS(I164),"")</f>
        <v/>
      </c>
      <c r="K164" s="52">
        <f>IF(ISNUMBER(I164),I164^2,"")</f>
        <v/>
      </c>
    </row>
    <row r="165" ht="15" customHeight="1" s="32">
      <c r="A165" s="41" t="inlineStr">
        <is>
          <t>elbow</t>
        </is>
      </c>
      <c r="B165" s="41" t="n">
        <v>1</v>
      </c>
      <c r="C165" s="41" t="inlineStr">
        <is>
          <t>up</t>
        </is>
      </c>
      <c r="D165" s="41" t="n">
        <v>-80</v>
      </c>
      <c r="E165" s="48" t="n">
        <v>-49.8</v>
      </c>
      <c r="F165" s="48" t="n">
        <v>30.3</v>
      </c>
      <c r="G165" s="50">
        <f>IF(ISNUMBER(E165),E165-IF(ISNUMBER(F165),F165,0),"")</f>
        <v/>
      </c>
      <c r="H165" s="51" t="n">
        <v>-79.91</v>
      </c>
      <c r="I165" s="50">
        <f>IF(AND(ISNUMBER(G165),ISNUMBER(H165)),H165-G165,"")</f>
        <v/>
      </c>
      <c r="J165" s="50">
        <f>IF(ISNUMBER(I165),ABS(I165),"")</f>
        <v/>
      </c>
      <c r="K165" s="52">
        <f>IF(ISNUMBER(I165),I165^2,"")</f>
        <v/>
      </c>
    </row>
    <row r="166" ht="15" customHeight="1" s="32">
      <c r="A166" s="41" t="inlineStr">
        <is>
          <t>elbow</t>
        </is>
      </c>
      <c r="B166" s="41" t="n">
        <v>1</v>
      </c>
      <c r="C166" s="41" t="inlineStr">
        <is>
          <t>up</t>
        </is>
      </c>
      <c r="D166" s="41" t="n">
        <v>-70</v>
      </c>
      <c r="E166" s="48" t="n">
        <v>-39.8</v>
      </c>
      <c r="F166" s="48" t="n">
        <v>30.3</v>
      </c>
      <c r="G166" s="50">
        <f>IF(ISNUMBER(E166),E166-IF(ISNUMBER(F166),F166,0),"")</f>
        <v/>
      </c>
      <c r="H166" s="51" t="n">
        <v>-69.87</v>
      </c>
      <c r="I166" s="50">
        <f>IF(AND(ISNUMBER(G166),ISNUMBER(H166)),H166-G166,"")</f>
        <v/>
      </c>
      <c r="J166" s="50">
        <f>IF(ISNUMBER(I166),ABS(I166),"")</f>
        <v/>
      </c>
      <c r="K166" s="52">
        <f>IF(ISNUMBER(I166),I166^2,"")</f>
        <v/>
      </c>
    </row>
    <row r="167" ht="15" customHeight="1" s="32">
      <c r="A167" s="41" t="inlineStr">
        <is>
          <t>elbow</t>
        </is>
      </c>
      <c r="B167" s="41" t="n">
        <v>1</v>
      </c>
      <c r="C167" s="41" t="inlineStr">
        <is>
          <t>up</t>
        </is>
      </c>
      <c r="D167" s="41" t="n">
        <v>-60</v>
      </c>
      <c r="E167" s="48" t="n">
        <v>-29.7</v>
      </c>
      <c r="F167" s="48" t="n">
        <v>30.3</v>
      </c>
      <c r="G167" s="50">
        <f>IF(ISNUMBER(E167),E167-IF(ISNUMBER(F167),F167,0),"")</f>
        <v/>
      </c>
      <c r="H167" s="51" t="n">
        <v>-60.29</v>
      </c>
      <c r="I167" s="50">
        <f>IF(AND(ISNUMBER(G167),ISNUMBER(H167)),H167-G167,"")</f>
        <v/>
      </c>
      <c r="J167" s="50">
        <f>IF(ISNUMBER(I167),ABS(I167),"")</f>
        <v/>
      </c>
      <c r="K167" s="52">
        <f>IF(ISNUMBER(I167),I167^2,"")</f>
        <v/>
      </c>
    </row>
    <row r="168" ht="15" customHeight="1" s="32">
      <c r="A168" s="41" t="inlineStr">
        <is>
          <t>elbow</t>
        </is>
      </c>
      <c r="B168" s="41" t="n">
        <v>1</v>
      </c>
      <c r="C168" s="41" t="inlineStr">
        <is>
          <t>up</t>
        </is>
      </c>
      <c r="D168" s="41" t="n">
        <v>-50</v>
      </c>
      <c r="E168" s="48" t="n">
        <v>-20</v>
      </c>
      <c r="F168" s="48" t="n">
        <v>30.3</v>
      </c>
      <c r="G168" s="50">
        <f>IF(ISNUMBER(E168),E168-IF(ISNUMBER(F168),F168,0),"")</f>
        <v/>
      </c>
      <c r="H168" s="51" t="n">
        <v>-50.1</v>
      </c>
      <c r="I168" s="50">
        <f>IF(AND(ISNUMBER(G168),ISNUMBER(H168)),H168-G168,"")</f>
        <v/>
      </c>
      <c r="J168" s="50">
        <f>IF(ISNUMBER(I168),ABS(I168),"")</f>
        <v/>
      </c>
      <c r="K168" s="52">
        <f>IF(ISNUMBER(I168),I168^2,"")</f>
        <v/>
      </c>
    </row>
    <row r="169" ht="15" customHeight="1" s="32">
      <c r="A169" s="41" t="inlineStr">
        <is>
          <t>elbow</t>
        </is>
      </c>
      <c r="B169" s="41" t="n">
        <v>1</v>
      </c>
      <c r="C169" s="41" t="inlineStr">
        <is>
          <t>up</t>
        </is>
      </c>
      <c r="D169" s="41" t="n">
        <v>-40</v>
      </c>
      <c r="E169" s="48" t="n">
        <v>-9.9</v>
      </c>
      <c r="F169" s="48" t="n">
        <v>30.3</v>
      </c>
      <c r="G169" s="50">
        <f>IF(ISNUMBER(E169),E169-IF(ISNUMBER(F169),F169,0),"")</f>
        <v/>
      </c>
      <c r="H169" s="51" t="n">
        <v>-40.08</v>
      </c>
      <c r="I169" s="50">
        <f>IF(AND(ISNUMBER(G169),ISNUMBER(H169)),H169-G169,"")</f>
        <v/>
      </c>
      <c r="J169" s="50">
        <f>IF(ISNUMBER(I169),ABS(I169),"")</f>
        <v/>
      </c>
      <c r="K169" s="52">
        <f>IF(ISNUMBER(I169),I169^2,"")</f>
        <v/>
      </c>
    </row>
    <row r="170" ht="15" customHeight="1" s="32">
      <c r="A170" s="41" t="inlineStr">
        <is>
          <t>elbow</t>
        </is>
      </c>
      <c r="B170" s="41" t="n">
        <v>1</v>
      </c>
      <c r="C170" s="41" t="inlineStr">
        <is>
          <t>up</t>
        </is>
      </c>
      <c r="D170" s="41" t="n">
        <v>-30</v>
      </c>
      <c r="E170" s="48" t="n">
        <v>0.2</v>
      </c>
      <c r="F170" s="48" t="n">
        <v>30.3</v>
      </c>
      <c r="G170" s="50">
        <f>IF(ISNUMBER(E170),E170-IF(ISNUMBER(F170),F170,0),"")</f>
        <v/>
      </c>
      <c r="H170" s="51" t="n">
        <v>-30.05</v>
      </c>
      <c r="I170" s="50">
        <f>IF(AND(ISNUMBER(G170),ISNUMBER(H170)),H170-G170,"")</f>
        <v/>
      </c>
      <c r="J170" s="50">
        <f>IF(ISNUMBER(I170),ABS(I170),"")</f>
        <v/>
      </c>
      <c r="K170" s="52">
        <f>IF(ISNUMBER(I170),I170^2,"")</f>
        <v/>
      </c>
    </row>
    <row r="171" ht="15" customHeight="1" s="32">
      <c r="A171" s="41" t="inlineStr">
        <is>
          <t>elbow</t>
        </is>
      </c>
      <c r="B171" s="41" t="n">
        <v>1</v>
      </c>
      <c r="C171" s="41" t="inlineStr">
        <is>
          <t>up</t>
        </is>
      </c>
      <c r="D171" s="41" t="n">
        <v>-20</v>
      </c>
      <c r="E171" s="48" t="n">
        <v>9.800000000000001</v>
      </c>
      <c r="F171" s="48" t="n">
        <v>30.3</v>
      </c>
      <c r="G171" s="50">
        <f>IF(ISNUMBER(E171),E171-IF(ISNUMBER(F171),F171,0),"")</f>
        <v/>
      </c>
      <c r="H171" s="51" t="n">
        <v>-19.95</v>
      </c>
      <c r="I171" s="50">
        <f>IF(AND(ISNUMBER(G171),ISNUMBER(H171)),H171-G171,"")</f>
        <v/>
      </c>
      <c r="J171" s="50">
        <f>IF(ISNUMBER(I171),ABS(I171),"")</f>
        <v/>
      </c>
      <c r="K171" s="52">
        <f>IF(ISNUMBER(I171),I171^2,"")</f>
        <v/>
      </c>
    </row>
    <row r="172" ht="15" customHeight="1" s="32">
      <c r="A172" s="41" t="inlineStr">
        <is>
          <t>elbow</t>
        </is>
      </c>
      <c r="B172" s="41" t="n">
        <v>1</v>
      </c>
      <c r="C172" s="41" t="inlineStr">
        <is>
          <t>up</t>
        </is>
      </c>
      <c r="D172" s="41" t="n">
        <v>-10</v>
      </c>
      <c r="E172" s="48" t="n">
        <v>19.8</v>
      </c>
      <c r="F172" s="48" t="n">
        <v>30.3</v>
      </c>
      <c r="G172" s="50">
        <f>IF(ISNUMBER(E172),E172-IF(ISNUMBER(F172),F172,0),"")</f>
        <v/>
      </c>
      <c r="H172" s="51" t="n">
        <v>-10.02</v>
      </c>
      <c r="I172" s="50">
        <f>IF(AND(ISNUMBER(G172),ISNUMBER(H172)),H172-G172,"")</f>
        <v/>
      </c>
      <c r="J172" s="50">
        <f>IF(ISNUMBER(I172),ABS(I172),"")</f>
        <v/>
      </c>
      <c r="K172" s="52">
        <f>IF(ISNUMBER(I172),I172^2,"")</f>
        <v/>
      </c>
    </row>
    <row r="173" ht="15" customHeight="1" s="32">
      <c r="A173" s="41" t="inlineStr">
        <is>
          <t>elbow</t>
        </is>
      </c>
      <c r="B173" s="41" t="n">
        <v>1</v>
      </c>
      <c r="C173" s="41" t="inlineStr">
        <is>
          <t>up</t>
        </is>
      </c>
      <c r="D173" s="41" t="n">
        <v>0</v>
      </c>
      <c r="E173" s="48" t="n">
        <v>29.9</v>
      </c>
      <c r="F173" s="48" t="n">
        <v>30.3</v>
      </c>
      <c r="G173" s="50">
        <f>IF(ISNUMBER(E173),E173-IF(ISNUMBER(F173),F173,0),"")</f>
        <v/>
      </c>
      <c r="H173" s="51" t="n">
        <v>-0.26</v>
      </c>
      <c r="I173" s="50">
        <f>IF(AND(ISNUMBER(G173),ISNUMBER(H173)),H173-G173,"")</f>
        <v/>
      </c>
      <c r="J173" s="50">
        <f>IF(ISNUMBER(I173),ABS(I173),"")</f>
        <v/>
      </c>
      <c r="K173" s="52">
        <f>IF(ISNUMBER(I173),I173^2,"")</f>
        <v/>
      </c>
    </row>
    <row r="174" ht="15" customHeight="1" s="32">
      <c r="A174" s="41" t="inlineStr">
        <is>
          <t>elbow</t>
        </is>
      </c>
      <c r="B174" s="41" t="n">
        <v>1</v>
      </c>
      <c r="C174" s="41" t="inlineStr">
        <is>
          <t>up</t>
        </is>
      </c>
      <c r="D174" s="41" t="n">
        <v>10</v>
      </c>
      <c r="E174" s="48" t="n">
        <v>40.4</v>
      </c>
      <c r="F174" s="48" t="n">
        <v>30.3</v>
      </c>
      <c r="G174" s="50">
        <f>IF(ISNUMBER(E174),E174-IF(ISNUMBER(F174),F174,0),"")</f>
        <v/>
      </c>
      <c r="H174" s="51" t="n">
        <v>9.76</v>
      </c>
      <c r="I174" s="50">
        <f>IF(AND(ISNUMBER(G174),ISNUMBER(H174)),H174-G174,"")</f>
        <v/>
      </c>
      <c r="J174" s="50">
        <f>IF(ISNUMBER(I174),ABS(I174),"")</f>
        <v/>
      </c>
      <c r="K174" s="52">
        <f>IF(ISNUMBER(I174),I174^2,"")</f>
        <v/>
      </c>
    </row>
    <row r="175" ht="15" customHeight="1" s="32">
      <c r="A175" s="41" t="inlineStr">
        <is>
          <t>elbow</t>
        </is>
      </c>
      <c r="B175" s="41" t="n">
        <v>1</v>
      </c>
      <c r="C175" s="41" t="inlineStr">
        <is>
          <t>up</t>
        </is>
      </c>
      <c r="D175" s="41" t="n">
        <v>20</v>
      </c>
      <c r="E175" s="48" t="n">
        <v>49.9</v>
      </c>
      <c r="F175" s="48" t="n">
        <v>30.3</v>
      </c>
      <c r="G175" s="50">
        <f>IF(ISNUMBER(E175),E175-IF(ISNUMBER(F175),F175,0),"")</f>
        <v/>
      </c>
      <c r="H175" s="51" t="n">
        <v>19.75</v>
      </c>
      <c r="I175" s="50">
        <f>IF(AND(ISNUMBER(G175),ISNUMBER(H175)),H175-G175,"")</f>
        <v/>
      </c>
      <c r="J175" s="50">
        <f>IF(ISNUMBER(I175),ABS(I175),"")</f>
        <v/>
      </c>
      <c r="K175" s="52">
        <f>IF(ISNUMBER(I175),I175^2,"")</f>
        <v/>
      </c>
    </row>
    <row r="176" ht="15" customHeight="1" s="32">
      <c r="A176" s="41" t="inlineStr">
        <is>
          <t>elbow</t>
        </is>
      </c>
      <c r="B176" s="41" t="n">
        <v>1</v>
      </c>
      <c r="C176" s="41" t="inlineStr">
        <is>
          <t>up</t>
        </is>
      </c>
      <c r="D176" s="41" t="n">
        <v>30</v>
      </c>
      <c r="E176" s="48" t="n">
        <v>59.9</v>
      </c>
      <c r="F176" s="48" t="n">
        <v>30.3</v>
      </c>
      <c r="G176" s="50">
        <f>IF(ISNUMBER(E176),E176-IF(ISNUMBER(F176),F176,0),"")</f>
        <v/>
      </c>
      <c r="H176" s="51" t="n">
        <v>29.79</v>
      </c>
      <c r="I176" s="50">
        <f>IF(AND(ISNUMBER(G176),ISNUMBER(H176)),H176-G176,"")</f>
        <v/>
      </c>
      <c r="J176" s="50">
        <f>IF(ISNUMBER(I176),ABS(I176),"")</f>
        <v/>
      </c>
      <c r="K176" s="52">
        <f>IF(ISNUMBER(I176),I176^2,"")</f>
        <v/>
      </c>
    </row>
    <row r="177" ht="15" customHeight="1" s="32">
      <c r="A177" s="41" t="inlineStr">
        <is>
          <t>elbow</t>
        </is>
      </c>
      <c r="B177" s="41" t="n">
        <v>1</v>
      </c>
      <c r="C177" s="41" t="inlineStr">
        <is>
          <t>up</t>
        </is>
      </c>
      <c r="D177" s="41" t="n">
        <v>40</v>
      </c>
      <c r="E177" s="48" t="n">
        <v>69.8</v>
      </c>
      <c r="F177" s="48" t="n">
        <v>30.3</v>
      </c>
      <c r="G177" s="50">
        <f>IF(ISNUMBER(E177),E177-IF(ISNUMBER(F177),F177,0),"")</f>
        <v/>
      </c>
      <c r="H177" s="51" t="n">
        <v>39.81</v>
      </c>
      <c r="I177" s="50">
        <f>IF(AND(ISNUMBER(G177),ISNUMBER(H177)),H177-G177,"")</f>
        <v/>
      </c>
      <c r="J177" s="50">
        <f>IF(ISNUMBER(I177),ABS(I177),"")</f>
        <v/>
      </c>
      <c r="K177" s="52">
        <f>IF(ISNUMBER(I177),I177^2,"")</f>
        <v/>
      </c>
    </row>
    <row r="178" ht="15" customHeight="1" s="32">
      <c r="A178" s="41" t="inlineStr">
        <is>
          <t>elbow</t>
        </is>
      </c>
      <c r="B178" s="41" t="n">
        <v>1</v>
      </c>
      <c r="C178" s="41" t="inlineStr">
        <is>
          <t>up</t>
        </is>
      </c>
      <c r="D178" s="41" t="n">
        <v>50</v>
      </c>
      <c r="E178" s="48" t="n">
        <v>80.2</v>
      </c>
      <c r="F178" s="48" t="n">
        <v>30.3</v>
      </c>
      <c r="G178" s="50">
        <f>IF(ISNUMBER(E178),E178-IF(ISNUMBER(F178),F178,0),"")</f>
        <v/>
      </c>
      <c r="H178" s="51" t="n">
        <v>50.19</v>
      </c>
      <c r="I178" s="50">
        <f>IF(AND(ISNUMBER(G178),ISNUMBER(H178)),H178-G178,"")</f>
        <v/>
      </c>
      <c r="J178" s="50">
        <f>IF(ISNUMBER(I178),ABS(I178),"")</f>
        <v/>
      </c>
      <c r="K178" s="52">
        <f>IF(ISNUMBER(I178),I178^2,"")</f>
        <v/>
      </c>
    </row>
    <row r="179" ht="15" customHeight="1" s="32">
      <c r="A179" s="41" t="inlineStr">
        <is>
          <t>elbow</t>
        </is>
      </c>
      <c r="B179" s="41" t="n">
        <v>1</v>
      </c>
      <c r="C179" s="41" t="inlineStr">
        <is>
          <t>up</t>
        </is>
      </c>
      <c r="D179" s="41" t="n">
        <v>60</v>
      </c>
      <c r="E179" s="48" t="n">
        <v>89.8</v>
      </c>
      <c r="F179" s="48" t="n">
        <v>30.3</v>
      </c>
      <c r="G179" s="50">
        <f>IF(ISNUMBER(E179),E179-IF(ISNUMBER(F179),F179,0),"")</f>
        <v/>
      </c>
      <c r="H179" s="51" t="n">
        <v>59.94</v>
      </c>
      <c r="I179" s="50">
        <f>IF(AND(ISNUMBER(G179),ISNUMBER(H179)),H179-G179,"")</f>
        <v/>
      </c>
      <c r="J179" s="50">
        <f>IF(ISNUMBER(I179),ABS(I179),"")</f>
        <v/>
      </c>
      <c r="K179" s="52">
        <f>IF(ISNUMBER(I179),I179^2,"")</f>
        <v/>
      </c>
    </row>
    <row r="180" ht="15" customHeight="1" s="32">
      <c r="A180" s="41" t="inlineStr">
        <is>
          <t>elbow</t>
        </is>
      </c>
      <c r="B180" s="41" t="n">
        <v>1</v>
      </c>
      <c r="C180" s="41" t="inlineStr">
        <is>
          <t>up</t>
        </is>
      </c>
      <c r="D180" s="41" t="n">
        <v>70</v>
      </c>
      <c r="E180" s="48" t="n">
        <v>99.59999999999999</v>
      </c>
      <c r="F180" s="48" t="n">
        <v>30.3</v>
      </c>
      <c r="G180" s="50">
        <f>IF(ISNUMBER(E180),E180-IF(ISNUMBER(F180),F180,0),"")</f>
        <v/>
      </c>
      <c r="H180" s="51" t="n">
        <v>69.87</v>
      </c>
      <c r="I180" s="50">
        <f>IF(AND(ISNUMBER(G180),ISNUMBER(H180)),H180-G180,"")</f>
        <v/>
      </c>
      <c r="J180" s="50">
        <f>IF(ISNUMBER(I180),ABS(I180),"")</f>
        <v/>
      </c>
      <c r="K180" s="52">
        <f>IF(ISNUMBER(I180),I180^2,"")</f>
        <v/>
      </c>
    </row>
    <row r="181" ht="15" customHeight="1" s="32">
      <c r="A181" s="41" t="inlineStr">
        <is>
          <t>elbow</t>
        </is>
      </c>
      <c r="B181" s="41" t="n">
        <v>1</v>
      </c>
      <c r="C181" s="41" t="inlineStr">
        <is>
          <t>up</t>
        </is>
      </c>
      <c r="D181" s="41" t="n">
        <v>80</v>
      </c>
      <c r="E181" s="48" t="n">
        <v>110.2</v>
      </c>
      <c r="F181" s="48" t="n">
        <v>30.3</v>
      </c>
      <c r="G181" s="50">
        <f>IF(ISNUMBER(E181),E181-IF(ISNUMBER(F181),F181,0),"")</f>
        <v/>
      </c>
      <c r="H181" s="51" t="n">
        <v>79.93000000000001</v>
      </c>
      <c r="I181" s="50">
        <f>IF(AND(ISNUMBER(G181),ISNUMBER(H181)),H181-G181,"")</f>
        <v/>
      </c>
      <c r="J181" s="50">
        <f>IF(ISNUMBER(I181),ABS(I181),"")</f>
        <v/>
      </c>
      <c r="K181" s="52">
        <f>IF(ISNUMBER(I181),I181^2,"")</f>
        <v/>
      </c>
    </row>
    <row r="182" ht="15" customHeight="1" s="32">
      <c r="A182" s="41" t="inlineStr">
        <is>
          <t>elbow</t>
        </is>
      </c>
      <c r="B182" s="41" t="n">
        <v>1</v>
      </c>
      <c r="C182" s="41" t="inlineStr">
        <is>
          <t>up</t>
        </is>
      </c>
      <c r="D182" s="41" t="n">
        <v>90</v>
      </c>
      <c r="E182" s="48" t="n">
        <v>120.1</v>
      </c>
      <c r="F182" s="48" t="n">
        <v>30.3</v>
      </c>
      <c r="G182" s="50">
        <f>IF(ISNUMBER(E182),E182-IF(ISNUMBER(F182),F182,0),"")</f>
        <v/>
      </c>
      <c r="H182" s="51" t="n">
        <v>90.26000000000001</v>
      </c>
      <c r="I182" s="50">
        <f>IF(AND(ISNUMBER(G182),ISNUMBER(H182)),H182-G182,"")</f>
        <v/>
      </c>
      <c r="J182" s="50">
        <f>IF(ISNUMBER(I182),ABS(I182),"")</f>
        <v/>
      </c>
      <c r="K182" s="52">
        <f>IF(ISNUMBER(I182),I182^2,"")</f>
        <v/>
      </c>
    </row>
    <row r="183" ht="15" customHeight="1" s="32">
      <c r="A183" s="41" t="inlineStr">
        <is>
          <t>elbow</t>
        </is>
      </c>
      <c r="B183" s="41" t="n">
        <v>1</v>
      </c>
      <c r="C183" s="41" t="inlineStr">
        <is>
          <t>down</t>
        </is>
      </c>
      <c r="D183" s="41" t="n">
        <v>90</v>
      </c>
      <c r="E183" s="48" t="n"/>
      <c r="F183" s="48" t="n"/>
      <c r="G183" s="50">
        <f>IF(ISNUMBER(E183),E183-IF(ISNUMBER(F183),F183,0),"")</f>
        <v/>
      </c>
      <c r="H183" s="51" t="n"/>
      <c r="I183" s="50">
        <f>IF(AND(ISNUMBER(G183),ISNUMBER(H183)),H183-G183,"")</f>
        <v/>
      </c>
      <c r="J183" s="50">
        <f>IF(ISNUMBER(I183),ABS(I183),"")</f>
        <v/>
      </c>
      <c r="K183" s="52">
        <f>IF(ISNUMBER(I183),I183^2,"")</f>
        <v/>
      </c>
    </row>
    <row r="184" ht="15" customHeight="1" s="32">
      <c r="A184" s="41" t="inlineStr">
        <is>
          <t>elbow</t>
        </is>
      </c>
      <c r="B184" s="41" t="n">
        <v>1</v>
      </c>
      <c r="C184" s="41" t="inlineStr">
        <is>
          <t>down</t>
        </is>
      </c>
      <c r="D184" s="41" t="n">
        <v>80</v>
      </c>
      <c r="E184" s="48" t="n"/>
      <c r="F184" s="48" t="n"/>
      <c r="G184" s="50">
        <f>IF(ISNUMBER(E184),E184-IF(ISNUMBER(F184),F184,0),"")</f>
        <v/>
      </c>
      <c r="H184" s="51" t="n"/>
      <c r="I184" s="50">
        <f>IF(AND(ISNUMBER(G184),ISNUMBER(H184)),H184-G184,"")</f>
        <v/>
      </c>
      <c r="J184" s="50">
        <f>IF(ISNUMBER(I184),ABS(I184),"")</f>
        <v/>
      </c>
      <c r="K184" s="52">
        <f>IF(ISNUMBER(I184),I184^2,"")</f>
        <v/>
      </c>
    </row>
    <row r="185" ht="15" customHeight="1" s="32">
      <c r="A185" s="41" t="inlineStr">
        <is>
          <t>elbow</t>
        </is>
      </c>
      <c r="B185" s="41" t="n">
        <v>1</v>
      </c>
      <c r="C185" s="41" t="inlineStr">
        <is>
          <t>down</t>
        </is>
      </c>
      <c r="D185" s="41" t="n">
        <v>70</v>
      </c>
      <c r="E185" s="48" t="n"/>
      <c r="F185" s="48" t="n"/>
      <c r="G185" s="50">
        <f>IF(ISNUMBER(E185),E185-IF(ISNUMBER(F185),F185,0),"")</f>
        <v/>
      </c>
      <c r="H185" s="51" t="n"/>
      <c r="I185" s="50">
        <f>IF(AND(ISNUMBER(G185),ISNUMBER(H185)),H185-G185,"")</f>
        <v/>
      </c>
      <c r="J185" s="50">
        <f>IF(ISNUMBER(I185),ABS(I185),"")</f>
        <v/>
      </c>
      <c r="K185" s="52">
        <f>IF(ISNUMBER(I185),I185^2,"")</f>
        <v/>
      </c>
    </row>
    <row r="186" ht="15" customHeight="1" s="32">
      <c r="A186" s="41" t="inlineStr">
        <is>
          <t>elbow</t>
        </is>
      </c>
      <c r="B186" s="41" t="n">
        <v>1</v>
      </c>
      <c r="C186" s="41" t="inlineStr">
        <is>
          <t>down</t>
        </is>
      </c>
      <c r="D186" s="41" t="n">
        <v>60</v>
      </c>
      <c r="E186" s="48" t="n"/>
      <c r="F186" s="48" t="n"/>
      <c r="G186" s="50">
        <f>IF(ISNUMBER(E186),E186-IF(ISNUMBER(F186),F186,0),"")</f>
        <v/>
      </c>
      <c r="H186" s="51" t="n"/>
      <c r="I186" s="50">
        <f>IF(AND(ISNUMBER(G186),ISNUMBER(H186)),H186-G186,"")</f>
        <v/>
      </c>
      <c r="J186" s="50">
        <f>IF(ISNUMBER(I186),ABS(I186),"")</f>
        <v/>
      </c>
      <c r="K186" s="52">
        <f>IF(ISNUMBER(I186),I186^2,"")</f>
        <v/>
      </c>
    </row>
    <row r="187" ht="15" customHeight="1" s="32">
      <c r="A187" s="41" t="inlineStr">
        <is>
          <t>elbow</t>
        </is>
      </c>
      <c r="B187" s="41" t="n">
        <v>1</v>
      </c>
      <c r="C187" s="41" t="inlineStr">
        <is>
          <t>down</t>
        </is>
      </c>
      <c r="D187" s="41" t="n">
        <v>50</v>
      </c>
      <c r="E187" s="48" t="n"/>
      <c r="F187" s="48" t="n"/>
      <c r="G187" s="50">
        <f>IF(ISNUMBER(E187),E187-IF(ISNUMBER(F187),F187,0),"")</f>
        <v/>
      </c>
      <c r="H187" s="51" t="n"/>
      <c r="I187" s="50">
        <f>IF(AND(ISNUMBER(G187),ISNUMBER(H187)),H187-G187,"")</f>
        <v/>
      </c>
      <c r="J187" s="50">
        <f>IF(ISNUMBER(I187),ABS(I187),"")</f>
        <v/>
      </c>
      <c r="K187" s="52">
        <f>IF(ISNUMBER(I187),I187^2,"")</f>
        <v/>
      </c>
    </row>
    <row r="188" ht="15" customHeight="1" s="32">
      <c r="A188" s="41" t="inlineStr">
        <is>
          <t>elbow</t>
        </is>
      </c>
      <c r="B188" s="41" t="n">
        <v>1</v>
      </c>
      <c r="C188" s="41" t="inlineStr">
        <is>
          <t>down</t>
        </is>
      </c>
      <c r="D188" s="41" t="n">
        <v>40</v>
      </c>
      <c r="E188" s="48" t="n"/>
      <c r="F188" s="48" t="n"/>
      <c r="G188" s="50">
        <f>IF(ISNUMBER(E188),E188-IF(ISNUMBER(F188),F188,0),"")</f>
        <v/>
      </c>
      <c r="H188" s="51" t="n"/>
      <c r="I188" s="50">
        <f>IF(AND(ISNUMBER(G188),ISNUMBER(H188)),H188-G188,"")</f>
        <v/>
      </c>
      <c r="J188" s="50">
        <f>IF(ISNUMBER(I188),ABS(I188),"")</f>
        <v/>
      </c>
      <c r="K188" s="52">
        <f>IF(ISNUMBER(I188),I188^2,"")</f>
        <v/>
      </c>
    </row>
    <row r="189" ht="15" customHeight="1" s="32">
      <c r="A189" s="41" t="inlineStr">
        <is>
          <t>elbow</t>
        </is>
      </c>
      <c r="B189" s="41" t="n">
        <v>1</v>
      </c>
      <c r="C189" s="41" t="inlineStr">
        <is>
          <t>down</t>
        </is>
      </c>
      <c r="D189" s="41" t="n">
        <v>30</v>
      </c>
      <c r="E189" s="48" t="n"/>
      <c r="F189" s="48" t="n"/>
      <c r="G189" s="50">
        <f>IF(ISNUMBER(E189),E189-IF(ISNUMBER(F189),F189,0),"")</f>
        <v/>
      </c>
      <c r="H189" s="51" t="n"/>
      <c r="I189" s="50">
        <f>IF(AND(ISNUMBER(G189),ISNUMBER(H189)),H189-G189,"")</f>
        <v/>
      </c>
      <c r="J189" s="50">
        <f>IF(ISNUMBER(I189),ABS(I189),"")</f>
        <v/>
      </c>
      <c r="K189" s="52">
        <f>IF(ISNUMBER(I189),I189^2,"")</f>
        <v/>
      </c>
    </row>
    <row r="190" ht="15" customHeight="1" s="32">
      <c r="A190" s="41" t="inlineStr">
        <is>
          <t>elbow</t>
        </is>
      </c>
      <c r="B190" s="41" t="n">
        <v>1</v>
      </c>
      <c r="C190" s="41" t="inlineStr">
        <is>
          <t>down</t>
        </is>
      </c>
      <c r="D190" s="41" t="n">
        <v>20</v>
      </c>
      <c r="E190" s="48" t="n"/>
      <c r="F190" s="48" t="n"/>
      <c r="G190" s="50">
        <f>IF(ISNUMBER(E190),E190-IF(ISNUMBER(F190),F190,0),"")</f>
        <v/>
      </c>
      <c r="H190" s="51" t="n"/>
      <c r="I190" s="50">
        <f>IF(AND(ISNUMBER(G190),ISNUMBER(H190)),H190-G190,"")</f>
        <v/>
      </c>
      <c r="J190" s="50">
        <f>IF(ISNUMBER(I190),ABS(I190),"")</f>
        <v/>
      </c>
      <c r="K190" s="52">
        <f>IF(ISNUMBER(I190),I190^2,"")</f>
        <v/>
      </c>
    </row>
    <row r="191" ht="15" customHeight="1" s="32">
      <c r="A191" s="41" t="inlineStr">
        <is>
          <t>elbow</t>
        </is>
      </c>
      <c r="B191" s="41" t="n">
        <v>1</v>
      </c>
      <c r="C191" s="41" t="inlineStr">
        <is>
          <t>down</t>
        </is>
      </c>
      <c r="D191" s="41" t="n">
        <v>10</v>
      </c>
      <c r="E191" s="48" t="n"/>
      <c r="F191" s="48" t="n"/>
      <c r="G191" s="50">
        <f>IF(ISNUMBER(E191),E191-IF(ISNUMBER(F191),F191,0),"")</f>
        <v/>
      </c>
      <c r="H191" s="51" t="n"/>
      <c r="I191" s="50">
        <f>IF(AND(ISNUMBER(G191),ISNUMBER(H191)),H191-G191,"")</f>
        <v/>
      </c>
      <c r="J191" s="50">
        <f>IF(ISNUMBER(I191),ABS(I191),"")</f>
        <v/>
      </c>
      <c r="K191" s="52">
        <f>IF(ISNUMBER(I191),I191^2,"")</f>
        <v/>
      </c>
    </row>
    <row r="192" ht="15" customHeight="1" s="32">
      <c r="A192" s="41" t="inlineStr">
        <is>
          <t>elbow</t>
        </is>
      </c>
      <c r="B192" s="41" t="n">
        <v>1</v>
      </c>
      <c r="C192" s="41" t="inlineStr">
        <is>
          <t>down</t>
        </is>
      </c>
      <c r="D192" s="41" t="n">
        <v>0</v>
      </c>
      <c r="E192" s="48" t="n"/>
      <c r="F192" s="48" t="n"/>
      <c r="G192" s="50">
        <f>IF(ISNUMBER(E192),E192-IF(ISNUMBER(F192),F192,0),"")</f>
        <v/>
      </c>
      <c r="H192" s="51" t="n"/>
      <c r="I192" s="50">
        <f>IF(AND(ISNUMBER(G192),ISNUMBER(H192)),H192-G192,"")</f>
        <v/>
      </c>
      <c r="J192" s="50">
        <f>IF(ISNUMBER(I192),ABS(I192),"")</f>
        <v/>
      </c>
      <c r="K192" s="52">
        <f>IF(ISNUMBER(I192),I192^2,"")</f>
        <v/>
      </c>
    </row>
    <row r="193" ht="15" customHeight="1" s="32">
      <c r="A193" s="41" t="inlineStr">
        <is>
          <t>elbow</t>
        </is>
      </c>
      <c r="B193" s="41" t="n">
        <v>1</v>
      </c>
      <c r="C193" s="41" t="inlineStr">
        <is>
          <t>down</t>
        </is>
      </c>
      <c r="D193" s="41" t="n">
        <v>-10</v>
      </c>
      <c r="E193" s="48" t="n"/>
      <c r="F193" s="48" t="n"/>
      <c r="G193" s="50">
        <f>IF(ISNUMBER(E193),E193-IF(ISNUMBER(F193),F193,0),"")</f>
        <v/>
      </c>
      <c r="H193" s="51" t="n"/>
      <c r="I193" s="50">
        <f>IF(AND(ISNUMBER(G193),ISNUMBER(H193)),H193-G193,"")</f>
        <v/>
      </c>
      <c r="J193" s="50">
        <f>IF(ISNUMBER(I193),ABS(I193),"")</f>
        <v/>
      </c>
      <c r="K193" s="52">
        <f>IF(ISNUMBER(I193),I193^2,"")</f>
        <v/>
      </c>
    </row>
    <row r="194" ht="15" customHeight="1" s="32">
      <c r="A194" s="41" t="inlineStr">
        <is>
          <t>elbow</t>
        </is>
      </c>
      <c r="B194" s="41" t="n">
        <v>1</v>
      </c>
      <c r="C194" s="41" t="inlineStr">
        <is>
          <t>down</t>
        </is>
      </c>
      <c r="D194" s="41" t="n">
        <v>-20</v>
      </c>
      <c r="E194" s="48" t="n"/>
      <c r="F194" s="48" t="n"/>
      <c r="G194" s="50">
        <f>IF(ISNUMBER(E194),E194-IF(ISNUMBER(F194),F194,0),"")</f>
        <v/>
      </c>
      <c r="H194" s="51" t="n"/>
      <c r="I194" s="50">
        <f>IF(AND(ISNUMBER(G194),ISNUMBER(H194)),H194-G194,"")</f>
        <v/>
      </c>
      <c r="J194" s="50">
        <f>IF(ISNUMBER(I194),ABS(I194),"")</f>
        <v/>
      </c>
      <c r="K194" s="52">
        <f>IF(ISNUMBER(I194),I194^2,"")</f>
        <v/>
      </c>
    </row>
    <row r="195" ht="15" customHeight="1" s="32">
      <c r="A195" s="41" t="inlineStr">
        <is>
          <t>elbow</t>
        </is>
      </c>
      <c r="B195" s="41" t="n">
        <v>1</v>
      </c>
      <c r="C195" s="41" t="inlineStr">
        <is>
          <t>down</t>
        </is>
      </c>
      <c r="D195" s="41" t="n">
        <v>-30</v>
      </c>
      <c r="E195" s="48" t="n"/>
      <c r="F195" s="48" t="n"/>
      <c r="G195" s="50">
        <f>IF(ISNUMBER(E195),E195-IF(ISNUMBER(F195),F195,0),"")</f>
        <v/>
      </c>
      <c r="H195" s="51" t="n"/>
      <c r="I195" s="50">
        <f>IF(AND(ISNUMBER(G195),ISNUMBER(H195)),H195-G195,"")</f>
        <v/>
      </c>
      <c r="J195" s="50">
        <f>IF(ISNUMBER(I195),ABS(I195),"")</f>
        <v/>
      </c>
      <c r="K195" s="52">
        <f>IF(ISNUMBER(I195),I195^2,"")</f>
        <v/>
      </c>
    </row>
    <row r="196" ht="15" customHeight="1" s="32">
      <c r="A196" s="41" t="inlineStr">
        <is>
          <t>elbow</t>
        </is>
      </c>
      <c r="B196" s="41" t="n">
        <v>1</v>
      </c>
      <c r="C196" s="41" t="inlineStr">
        <is>
          <t>down</t>
        </is>
      </c>
      <c r="D196" s="41" t="n">
        <v>-40</v>
      </c>
      <c r="E196" s="48" t="n"/>
      <c r="F196" s="48" t="n"/>
      <c r="G196" s="50">
        <f>IF(ISNUMBER(E196),E196-IF(ISNUMBER(F196),F196,0),"")</f>
        <v/>
      </c>
      <c r="H196" s="51" t="n"/>
      <c r="I196" s="50">
        <f>IF(AND(ISNUMBER(G196),ISNUMBER(H196)),H196-G196,"")</f>
        <v/>
      </c>
      <c r="J196" s="50">
        <f>IF(ISNUMBER(I196),ABS(I196),"")</f>
        <v/>
      </c>
      <c r="K196" s="52">
        <f>IF(ISNUMBER(I196),I196^2,"")</f>
        <v/>
      </c>
    </row>
    <row r="197" ht="15" customHeight="1" s="32">
      <c r="A197" s="41" t="inlineStr">
        <is>
          <t>elbow</t>
        </is>
      </c>
      <c r="B197" s="41" t="n">
        <v>1</v>
      </c>
      <c r="C197" s="41" t="inlineStr">
        <is>
          <t>down</t>
        </is>
      </c>
      <c r="D197" s="41" t="n">
        <v>-50</v>
      </c>
      <c r="E197" s="48" t="n"/>
      <c r="F197" s="48" t="n"/>
      <c r="G197" s="50">
        <f>IF(ISNUMBER(E197),E197-IF(ISNUMBER(F197),F197,0),"")</f>
        <v/>
      </c>
      <c r="H197" s="51" t="n"/>
      <c r="I197" s="50">
        <f>IF(AND(ISNUMBER(G197),ISNUMBER(H197)),H197-G197,"")</f>
        <v/>
      </c>
      <c r="J197" s="50">
        <f>IF(ISNUMBER(I197),ABS(I197),"")</f>
        <v/>
      </c>
      <c r="K197" s="52">
        <f>IF(ISNUMBER(I197),I197^2,"")</f>
        <v/>
      </c>
    </row>
    <row r="198" ht="15" customHeight="1" s="32">
      <c r="A198" s="41" t="inlineStr">
        <is>
          <t>elbow</t>
        </is>
      </c>
      <c r="B198" s="41" t="n">
        <v>1</v>
      </c>
      <c r="C198" s="41" t="inlineStr">
        <is>
          <t>down</t>
        </is>
      </c>
      <c r="D198" s="41" t="n">
        <v>-60</v>
      </c>
      <c r="E198" s="48" t="n"/>
      <c r="F198" s="48" t="n"/>
      <c r="G198" s="50">
        <f>IF(ISNUMBER(E198),E198-IF(ISNUMBER(F198),F198,0),"")</f>
        <v/>
      </c>
      <c r="H198" s="51" t="n"/>
      <c r="I198" s="50">
        <f>IF(AND(ISNUMBER(G198),ISNUMBER(H198)),H198-G198,"")</f>
        <v/>
      </c>
      <c r="J198" s="50">
        <f>IF(ISNUMBER(I198),ABS(I198),"")</f>
        <v/>
      </c>
      <c r="K198" s="52">
        <f>IF(ISNUMBER(I198),I198^2,"")</f>
        <v/>
      </c>
    </row>
    <row r="199" ht="15" customHeight="1" s="32">
      <c r="A199" s="41" t="inlineStr">
        <is>
          <t>elbow</t>
        </is>
      </c>
      <c r="B199" s="41" t="n">
        <v>1</v>
      </c>
      <c r="C199" s="41" t="inlineStr">
        <is>
          <t>down</t>
        </is>
      </c>
      <c r="D199" s="41" t="n">
        <v>-70</v>
      </c>
      <c r="E199" s="48" t="n"/>
      <c r="F199" s="48" t="n"/>
      <c r="G199" s="50">
        <f>IF(ISNUMBER(E199),E199-IF(ISNUMBER(F199),F199,0),"")</f>
        <v/>
      </c>
      <c r="H199" s="51" t="n"/>
      <c r="I199" s="50">
        <f>IF(AND(ISNUMBER(G199),ISNUMBER(H199)),H199-G199,"")</f>
        <v/>
      </c>
      <c r="J199" s="50">
        <f>IF(ISNUMBER(I199),ABS(I199),"")</f>
        <v/>
      </c>
      <c r="K199" s="52">
        <f>IF(ISNUMBER(I199),I199^2,"")</f>
        <v/>
      </c>
    </row>
    <row r="200" ht="15" customHeight="1" s="32">
      <c r="A200" s="41" t="inlineStr">
        <is>
          <t>elbow</t>
        </is>
      </c>
      <c r="B200" s="41" t="n">
        <v>1</v>
      </c>
      <c r="C200" s="41" t="inlineStr">
        <is>
          <t>down</t>
        </is>
      </c>
      <c r="D200" s="41" t="n">
        <v>-80</v>
      </c>
      <c r="E200" s="48" t="n"/>
      <c r="F200" s="48" t="n"/>
      <c r="G200" s="50">
        <f>IF(ISNUMBER(E200),E200-IF(ISNUMBER(F200),F200,0),"")</f>
        <v/>
      </c>
      <c r="H200" s="51" t="n"/>
      <c r="I200" s="50">
        <f>IF(AND(ISNUMBER(G200),ISNUMBER(H200)),H200-G200,"")</f>
        <v/>
      </c>
      <c r="J200" s="50">
        <f>IF(ISNUMBER(I200),ABS(I200),"")</f>
        <v/>
      </c>
      <c r="K200" s="52">
        <f>IF(ISNUMBER(I200),I200^2,"")</f>
        <v/>
      </c>
    </row>
    <row r="201" ht="15" customHeight="1" s="32">
      <c r="A201" s="41" t="inlineStr">
        <is>
          <t>elbow</t>
        </is>
      </c>
      <c r="B201" s="41" t="n">
        <v>1</v>
      </c>
      <c r="C201" s="41" t="inlineStr">
        <is>
          <t>down</t>
        </is>
      </c>
      <c r="D201" s="41" t="n">
        <v>-90</v>
      </c>
      <c r="E201" s="48" t="n"/>
      <c r="F201" s="48" t="n"/>
      <c r="G201" s="50">
        <f>IF(ISNUMBER(E201),E201-IF(ISNUMBER(F201),F201,0),"")</f>
        <v/>
      </c>
      <c r="H201" s="51" t="n"/>
      <c r="I201" s="50">
        <f>IF(AND(ISNUMBER(G201),ISNUMBER(H201)),H201-G201,"")</f>
        <v/>
      </c>
      <c r="J201" s="50">
        <f>IF(ISNUMBER(I201),ABS(I201),"")</f>
        <v/>
      </c>
      <c r="K201" s="52">
        <f>IF(ISNUMBER(I201),I201^2,"")</f>
        <v/>
      </c>
    </row>
    <row r="202" ht="15" customHeight="1" s="32">
      <c r="A202" s="41" t="inlineStr">
        <is>
          <t>elbow</t>
        </is>
      </c>
      <c r="B202" s="41" t="n">
        <v>2</v>
      </c>
      <c r="C202" s="41" t="inlineStr">
        <is>
          <t>up</t>
        </is>
      </c>
      <c r="D202" s="41" t="n">
        <v>-90</v>
      </c>
      <c r="E202" s="48" t="n"/>
      <c r="F202" s="48" t="n"/>
      <c r="G202" s="50">
        <f>IF(ISNUMBER(E202),E202-IF(ISNUMBER(F202),F202,0),"")</f>
        <v/>
      </c>
      <c r="H202" s="51" t="n"/>
      <c r="I202" s="50">
        <f>IF(AND(ISNUMBER(G202),ISNUMBER(H202)),H202-G202,"")</f>
        <v/>
      </c>
      <c r="J202" s="50">
        <f>IF(ISNUMBER(I202),ABS(I202),"")</f>
        <v/>
      </c>
      <c r="K202" s="52">
        <f>IF(ISNUMBER(I202),I202^2,"")</f>
        <v/>
      </c>
    </row>
    <row r="203" ht="15" customHeight="1" s="32">
      <c r="A203" s="41" t="inlineStr">
        <is>
          <t>elbow</t>
        </is>
      </c>
      <c r="B203" s="41" t="n">
        <v>2</v>
      </c>
      <c r="C203" s="41" t="inlineStr">
        <is>
          <t>up</t>
        </is>
      </c>
      <c r="D203" s="41" t="n">
        <v>-80</v>
      </c>
      <c r="E203" s="48" t="n"/>
      <c r="F203" s="48" t="n"/>
      <c r="G203" s="50">
        <f>IF(ISNUMBER(E203),E203-IF(ISNUMBER(F203),F203,0),"")</f>
        <v/>
      </c>
      <c r="H203" s="51" t="n"/>
      <c r="I203" s="50">
        <f>IF(AND(ISNUMBER(G203),ISNUMBER(H203)),H203-G203,"")</f>
        <v/>
      </c>
      <c r="J203" s="50">
        <f>IF(ISNUMBER(I203),ABS(I203),"")</f>
        <v/>
      </c>
      <c r="K203" s="52">
        <f>IF(ISNUMBER(I203),I203^2,"")</f>
        <v/>
      </c>
    </row>
    <row r="204" ht="15" customHeight="1" s="32">
      <c r="A204" s="41" t="inlineStr">
        <is>
          <t>elbow</t>
        </is>
      </c>
      <c r="B204" s="41" t="n">
        <v>2</v>
      </c>
      <c r="C204" s="41" t="inlineStr">
        <is>
          <t>up</t>
        </is>
      </c>
      <c r="D204" s="41" t="n">
        <v>-70</v>
      </c>
      <c r="E204" s="48" t="n"/>
      <c r="F204" s="48" t="n"/>
      <c r="G204" s="50">
        <f>IF(ISNUMBER(E204),E204-IF(ISNUMBER(F204),F204,0),"")</f>
        <v/>
      </c>
      <c r="H204" s="51" t="n"/>
      <c r="I204" s="50">
        <f>IF(AND(ISNUMBER(G204),ISNUMBER(H204)),H204-G204,"")</f>
        <v/>
      </c>
      <c r="J204" s="50">
        <f>IF(ISNUMBER(I204),ABS(I204),"")</f>
        <v/>
      </c>
      <c r="K204" s="52">
        <f>IF(ISNUMBER(I204),I204^2,"")</f>
        <v/>
      </c>
    </row>
    <row r="205" ht="15" customHeight="1" s="32">
      <c r="A205" s="41" t="inlineStr">
        <is>
          <t>elbow</t>
        </is>
      </c>
      <c r="B205" s="41" t="n">
        <v>2</v>
      </c>
      <c r="C205" s="41" t="inlineStr">
        <is>
          <t>up</t>
        </is>
      </c>
      <c r="D205" s="41" t="n">
        <v>-60</v>
      </c>
      <c r="E205" s="48" t="n"/>
      <c r="F205" s="48" t="n"/>
      <c r="G205" s="50">
        <f>IF(ISNUMBER(E205),E205-IF(ISNUMBER(F205),F205,0),"")</f>
        <v/>
      </c>
      <c r="H205" s="51" t="n"/>
      <c r="I205" s="50">
        <f>IF(AND(ISNUMBER(G205),ISNUMBER(H205)),H205-G205,"")</f>
        <v/>
      </c>
      <c r="J205" s="50">
        <f>IF(ISNUMBER(I205),ABS(I205),"")</f>
        <v/>
      </c>
      <c r="K205" s="52">
        <f>IF(ISNUMBER(I205),I205^2,"")</f>
        <v/>
      </c>
    </row>
    <row r="206" ht="15" customHeight="1" s="32">
      <c r="A206" s="41" t="inlineStr">
        <is>
          <t>elbow</t>
        </is>
      </c>
      <c r="B206" s="41" t="n">
        <v>2</v>
      </c>
      <c r="C206" s="41" t="inlineStr">
        <is>
          <t>up</t>
        </is>
      </c>
      <c r="D206" s="41" t="n">
        <v>-50</v>
      </c>
      <c r="E206" s="48" t="n"/>
      <c r="F206" s="48" t="n"/>
      <c r="G206" s="50">
        <f>IF(ISNUMBER(E206),E206-IF(ISNUMBER(F206),F206,0),"")</f>
        <v/>
      </c>
      <c r="H206" s="51" t="n"/>
      <c r="I206" s="50">
        <f>IF(AND(ISNUMBER(G206),ISNUMBER(H206)),H206-G206,"")</f>
        <v/>
      </c>
      <c r="J206" s="50">
        <f>IF(ISNUMBER(I206),ABS(I206),"")</f>
        <v/>
      </c>
      <c r="K206" s="52">
        <f>IF(ISNUMBER(I206),I206^2,"")</f>
        <v/>
      </c>
    </row>
    <row r="207" ht="15" customHeight="1" s="32">
      <c r="A207" s="41" t="inlineStr">
        <is>
          <t>elbow</t>
        </is>
      </c>
      <c r="B207" s="41" t="n">
        <v>2</v>
      </c>
      <c r="C207" s="41" t="inlineStr">
        <is>
          <t>up</t>
        </is>
      </c>
      <c r="D207" s="41" t="n">
        <v>-40</v>
      </c>
      <c r="E207" s="48" t="n"/>
      <c r="F207" s="48" t="n"/>
      <c r="G207" s="50">
        <f>IF(ISNUMBER(E207),E207-IF(ISNUMBER(F207),F207,0),"")</f>
        <v/>
      </c>
      <c r="H207" s="51" t="n"/>
      <c r="I207" s="50">
        <f>IF(AND(ISNUMBER(G207),ISNUMBER(H207)),H207-G207,"")</f>
        <v/>
      </c>
      <c r="J207" s="50">
        <f>IF(ISNUMBER(I207),ABS(I207),"")</f>
        <v/>
      </c>
      <c r="K207" s="52">
        <f>IF(ISNUMBER(I207),I207^2,"")</f>
        <v/>
      </c>
    </row>
    <row r="208" ht="15" customHeight="1" s="32">
      <c r="A208" s="41" t="inlineStr">
        <is>
          <t>elbow</t>
        </is>
      </c>
      <c r="B208" s="41" t="n">
        <v>2</v>
      </c>
      <c r="C208" s="41" t="inlineStr">
        <is>
          <t>up</t>
        </is>
      </c>
      <c r="D208" s="41" t="n">
        <v>-30</v>
      </c>
      <c r="E208" s="48" t="n"/>
      <c r="F208" s="48" t="n"/>
      <c r="G208" s="50">
        <f>IF(ISNUMBER(E208),E208-IF(ISNUMBER(F208),F208,0),"")</f>
        <v/>
      </c>
      <c r="H208" s="51" t="n"/>
      <c r="I208" s="50">
        <f>IF(AND(ISNUMBER(G208),ISNUMBER(H208)),H208-G208,"")</f>
        <v/>
      </c>
      <c r="J208" s="50">
        <f>IF(ISNUMBER(I208),ABS(I208),"")</f>
        <v/>
      </c>
      <c r="K208" s="52">
        <f>IF(ISNUMBER(I208),I208^2,"")</f>
        <v/>
      </c>
    </row>
    <row r="209" ht="15" customHeight="1" s="32">
      <c r="A209" s="41" t="inlineStr">
        <is>
          <t>elbow</t>
        </is>
      </c>
      <c r="B209" s="41" t="n">
        <v>2</v>
      </c>
      <c r="C209" s="41" t="inlineStr">
        <is>
          <t>up</t>
        </is>
      </c>
      <c r="D209" s="41" t="n">
        <v>-20</v>
      </c>
      <c r="E209" s="48" t="n"/>
      <c r="F209" s="48" t="n"/>
      <c r="G209" s="50">
        <f>IF(ISNUMBER(E209),E209-IF(ISNUMBER(F209),F209,0),"")</f>
        <v/>
      </c>
      <c r="H209" s="51" t="n"/>
      <c r="I209" s="50">
        <f>IF(AND(ISNUMBER(G209),ISNUMBER(H209)),H209-G209,"")</f>
        <v/>
      </c>
      <c r="J209" s="50">
        <f>IF(ISNUMBER(I209),ABS(I209),"")</f>
        <v/>
      </c>
      <c r="K209" s="52">
        <f>IF(ISNUMBER(I209),I209^2,"")</f>
        <v/>
      </c>
    </row>
    <row r="210" ht="15" customHeight="1" s="32">
      <c r="A210" s="41" t="inlineStr">
        <is>
          <t>elbow</t>
        </is>
      </c>
      <c r="B210" s="41" t="n">
        <v>2</v>
      </c>
      <c r="C210" s="41" t="inlineStr">
        <is>
          <t>up</t>
        </is>
      </c>
      <c r="D210" s="41" t="n">
        <v>-10</v>
      </c>
      <c r="E210" s="48" t="n"/>
      <c r="F210" s="48" t="n"/>
      <c r="G210" s="50">
        <f>IF(ISNUMBER(E210),E210-IF(ISNUMBER(F210),F210,0),"")</f>
        <v/>
      </c>
      <c r="H210" s="51" t="n"/>
      <c r="I210" s="50">
        <f>IF(AND(ISNUMBER(G210),ISNUMBER(H210)),H210-G210,"")</f>
        <v/>
      </c>
      <c r="J210" s="50">
        <f>IF(ISNUMBER(I210),ABS(I210),"")</f>
        <v/>
      </c>
      <c r="K210" s="52">
        <f>IF(ISNUMBER(I210),I210^2,"")</f>
        <v/>
      </c>
    </row>
    <row r="211" ht="15" customHeight="1" s="32">
      <c r="A211" s="41" t="inlineStr">
        <is>
          <t>elbow</t>
        </is>
      </c>
      <c r="B211" s="41" t="n">
        <v>2</v>
      </c>
      <c r="C211" s="41" t="inlineStr">
        <is>
          <t>up</t>
        </is>
      </c>
      <c r="D211" s="41" t="n">
        <v>0</v>
      </c>
      <c r="E211" s="48" t="n"/>
      <c r="F211" s="48" t="n"/>
      <c r="G211" s="50">
        <f>IF(ISNUMBER(E211),E211-IF(ISNUMBER(F211),F211,0),"")</f>
        <v/>
      </c>
      <c r="H211" s="51" t="n"/>
      <c r="I211" s="50">
        <f>IF(AND(ISNUMBER(G211),ISNUMBER(H211)),H211-G211,"")</f>
        <v/>
      </c>
      <c r="J211" s="50">
        <f>IF(ISNUMBER(I211),ABS(I211),"")</f>
        <v/>
      </c>
      <c r="K211" s="52">
        <f>IF(ISNUMBER(I211),I211^2,"")</f>
        <v/>
      </c>
    </row>
    <row r="212" ht="15" customHeight="1" s="32">
      <c r="A212" s="41" t="inlineStr">
        <is>
          <t>elbow</t>
        </is>
      </c>
      <c r="B212" s="41" t="n">
        <v>2</v>
      </c>
      <c r="C212" s="41" t="inlineStr">
        <is>
          <t>up</t>
        </is>
      </c>
      <c r="D212" s="41" t="n">
        <v>10</v>
      </c>
      <c r="E212" s="48" t="n"/>
      <c r="F212" s="48" t="n"/>
      <c r="G212" s="50">
        <f>IF(ISNUMBER(E212),E212-IF(ISNUMBER(F212),F212,0),"")</f>
        <v/>
      </c>
      <c r="H212" s="51" t="n"/>
      <c r="I212" s="50">
        <f>IF(AND(ISNUMBER(G212),ISNUMBER(H212)),H212-G212,"")</f>
        <v/>
      </c>
      <c r="J212" s="50">
        <f>IF(ISNUMBER(I212),ABS(I212),"")</f>
        <v/>
      </c>
      <c r="K212" s="52">
        <f>IF(ISNUMBER(I212),I212^2,"")</f>
        <v/>
      </c>
    </row>
    <row r="213" ht="15" customHeight="1" s="32">
      <c r="A213" s="41" t="inlineStr">
        <is>
          <t>elbow</t>
        </is>
      </c>
      <c r="B213" s="41" t="n">
        <v>2</v>
      </c>
      <c r="C213" s="41" t="inlineStr">
        <is>
          <t>up</t>
        </is>
      </c>
      <c r="D213" s="41" t="n">
        <v>20</v>
      </c>
      <c r="E213" s="48" t="n"/>
      <c r="F213" s="48" t="n"/>
      <c r="G213" s="50">
        <f>IF(ISNUMBER(E213),E213-IF(ISNUMBER(F213),F213,0),"")</f>
        <v/>
      </c>
      <c r="H213" s="51" t="n"/>
      <c r="I213" s="50">
        <f>IF(AND(ISNUMBER(G213),ISNUMBER(H213)),H213-G213,"")</f>
        <v/>
      </c>
      <c r="J213" s="50">
        <f>IF(ISNUMBER(I213),ABS(I213),"")</f>
        <v/>
      </c>
      <c r="K213" s="52">
        <f>IF(ISNUMBER(I213),I213^2,"")</f>
        <v/>
      </c>
    </row>
    <row r="214" ht="15" customHeight="1" s="32">
      <c r="A214" s="41" t="inlineStr">
        <is>
          <t>elbow</t>
        </is>
      </c>
      <c r="B214" s="41" t="n">
        <v>2</v>
      </c>
      <c r="C214" s="41" t="inlineStr">
        <is>
          <t>up</t>
        </is>
      </c>
      <c r="D214" s="41" t="n">
        <v>30</v>
      </c>
      <c r="E214" s="48" t="n"/>
      <c r="F214" s="48" t="n"/>
      <c r="G214" s="50">
        <f>IF(ISNUMBER(E214),E214-IF(ISNUMBER(F214),F214,0),"")</f>
        <v/>
      </c>
      <c r="H214" s="51" t="n"/>
      <c r="I214" s="50">
        <f>IF(AND(ISNUMBER(G214),ISNUMBER(H214)),H214-G214,"")</f>
        <v/>
      </c>
      <c r="J214" s="50">
        <f>IF(ISNUMBER(I214),ABS(I214),"")</f>
        <v/>
      </c>
      <c r="K214" s="52">
        <f>IF(ISNUMBER(I214),I214^2,"")</f>
        <v/>
      </c>
    </row>
    <row r="215" ht="15" customHeight="1" s="32">
      <c r="A215" s="41" t="inlineStr">
        <is>
          <t>elbow</t>
        </is>
      </c>
      <c r="B215" s="41" t="n">
        <v>2</v>
      </c>
      <c r="C215" s="41" t="inlineStr">
        <is>
          <t>up</t>
        </is>
      </c>
      <c r="D215" s="41" t="n">
        <v>40</v>
      </c>
      <c r="E215" s="48" t="n"/>
      <c r="F215" s="48" t="n"/>
      <c r="G215" s="50">
        <f>IF(ISNUMBER(E215),E215-IF(ISNUMBER(F215),F215,0),"")</f>
        <v/>
      </c>
      <c r="H215" s="51" t="n"/>
      <c r="I215" s="50">
        <f>IF(AND(ISNUMBER(G215),ISNUMBER(H215)),H215-G215,"")</f>
        <v/>
      </c>
      <c r="J215" s="50">
        <f>IF(ISNUMBER(I215),ABS(I215),"")</f>
        <v/>
      </c>
      <c r="K215" s="52">
        <f>IF(ISNUMBER(I215),I215^2,"")</f>
        <v/>
      </c>
    </row>
    <row r="216" ht="15" customHeight="1" s="32">
      <c r="A216" s="41" t="inlineStr">
        <is>
          <t>elbow</t>
        </is>
      </c>
      <c r="B216" s="41" t="n">
        <v>2</v>
      </c>
      <c r="C216" s="41" t="inlineStr">
        <is>
          <t>up</t>
        </is>
      </c>
      <c r="D216" s="41" t="n">
        <v>50</v>
      </c>
      <c r="E216" s="48" t="n"/>
      <c r="F216" s="48" t="n"/>
      <c r="G216" s="50">
        <f>IF(ISNUMBER(E216),E216-IF(ISNUMBER(F216),F216,0),"")</f>
        <v/>
      </c>
      <c r="H216" s="51" t="n"/>
      <c r="I216" s="50">
        <f>IF(AND(ISNUMBER(G216),ISNUMBER(H216)),H216-G216,"")</f>
        <v/>
      </c>
      <c r="J216" s="50">
        <f>IF(ISNUMBER(I216),ABS(I216),"")</f>
        <v/>
      </c>
      <c r="K216" s="52">
        <f>IF(ISNUMBER(I216),I216^2,"")</f>
        <v/>
      </c>
    </row>
    <row r="217" ht="15" customHeight="1" s="32">
      <c r="A217" s="41" t="inlineStr">
        <is>
          <t>elbow</t>
        </is>
      </c>
      <c r="B217" s="41" t="n">
        <v>2</v>
      </c>
      <c r="C217" s="41" t="inlineStr">
        <is>
          <t>up</t>
        </is>
      </c>
      <c r="D217" s="41" t="n">
        <v>60</v>
      </c>
      <c r="E217" s="48" t="n"/>
      <c r="F217" s="48" t="n"/>
      <c r="G217" s="50">
        <f>IF(ISNUMBER(E217),E217-IF(ISNUMBER(F217),F217,0),"")</f>
        <v/>
      </c>
      <c r="H217" s="51" t="n"/>
      <c r="I217" s="50">
        <f>IF(AND(ISNUMBER(G217),ISNUMBER(H217)),H217-G217,"")</f>
        <v/>
      </c>
      <c r="J217" s="50">
        <f>IF(ISNUMBER(I217),ABS(I217),"")</f>
        <v/>
      </c>
      <c r="K217" s="52">
        <f>IF(ISNUMBER(I217),I217^2,"")</f>
        <v/>
      </c>
    </row>
    <row r="218" ht="15" customHeight="1" s="32">
      <c r="A218" s="41" t="inlineStr">
        <is>
          <t>elbow</t>
        </is>
      </c>
      <c r="B218" s="41" t="n">
        <v>2</v>
      </c>
      <c r="C218" s="41" t="inlineStr">
        <is>
          <t>up</t>
        </is>
      </c>
      <c r="D218" s="41" t="n">
        <v>70</v>
      </c>
      <c r="E218" s="48" t="n"/>
      <c r="F218" s="48" t="n"/>
      <c r="G218" s="50">
        <f>IF(ISNUMBER(E218),E218-IF(ISNUMBER(F218),F218,0),"")</f>
        <v/>
      </c>
      <c r="H218" s="51" t="n"/>
      <c r="I218" s="50">
        <f>IF(AND(ISNUMBER(G218),ISNUMBER(H218)),H218-G218,"")</f>
        <v/>
      </c>
      <c r="J218" s="50">
        <f>IF(ISNUMBER(I218),ABS(I218),"")</f>
        <v/>
      </c>
      <c r="K218" s="52">
        <f>IF(ISNUMBER(I218),I218^2,"")</f>
        <v/>
      </c>
    </row>
    <row r="219" ht="15" customHeight="1" s="32">
      <c r="A219" s="41" t="inlineStr">
        <is>
          <t>elbow</t>
        </is>
      </c>
      <c r="B219" s="41" t="n">
        <v>2</v>
      </c>
      <c r="C219" s="41" t="inlineStr">
        <is>
          <t>up</t>
        </is>
      </c>
      <c r="D219" s="41" t="n">
        <v>80</v>
      </c>
      <c r="E219" s="48" t="n"/>
      <c r="F219" s="48" t="n"/>
      <c r="G219" s="50">
        <f>IF(ISNUMBER(E219),E219-IF(ISNUMBER(F219),F219,0),"")</f>
        <v/>
      </c>
      <c r="H219" s="51" t="n"/>
      <c r="I219" s="50">
        <f>IF(AND(ISNUMBER(G219),ISNUMBER(H219)),H219-G219,"")</f>
        <v/>
      </c>
      <c r="J219" s="50">
        <f>IF(ISNUMBER(I219),ABS(I219),"")</f>
        <v/>
      </c>
      <c r="K219" s="52">
        <f>IF(ISNUMBER(I219),I219^2,"")</f>
        <v/>
      </c>
    </row>
    <row r="220" ht="15" customHeight="1" s="32">
      <c r="A220" s="41" t="inlineStr">
        <is>
          <t>elbow</t>
        </is>
      </c>
      <c r="B220" s="41" t="n">
        <v>2</v>
      </c>
      <c r="C220" s="41" t="inlineStr">
        <is>
          <t>up</t>
        </is>
      </c>
      <c r="D220" s="41" t="n">
        <v>90</v>
      </c>
      <c r="E220" s="48" t="n"/>
      <c r="F220" s="48" t="n"/>
      <c r="G220" s="50">
        <f>IF(ISNUMBER(E220),E220-IF(ISNUMBER(F220),F220,0),"")</f>
        <v/>
      </c>
      <c r="H220" s="51" t="n"/>
      <c r="I220" s="50">
        <f>IF(AND(ISNUMBER(G220),ISNUMBER(H220)),H220-G220,"")</f>
        <v/>
      </c>
      <c r="J220" s="50">
        <f>IF(ISNUMBER(I220),ABS(I220),"")</f>
        <v/>
      </c>
      <c r="K220" s="52">
        <f>IF(ISNUMBER(I220),I220^2,"")</f>
        <v/>
      </c>
    </row>
    <row r="221" ht="15" customHeight="1" s="32">
      <c r="A221" s="41" t="inlineStr">
        <is>
          <t>elbow</t>
        </is>
      </c>
      <c r="B221" s="41" t="n">
        <v>2</v>
      </c>
      <c r="C221" s="41" t="inlineStr">
        <is>
          <t>down</t>
        </is>
      </c>
      <c r="D221" s="41" t="n">
        <v>90</v>
      </c>
      <c r="E221" s="48" t="n"/>
      <c r="F221" s="48" t="n"/>
      <c r="G221" s="50">
        <f>IF(ISNUMBER(E221),E221-IF(ISNUMBER(F221),F221,0),"")</f>
        <v/>
      </c>
      <c r="H221" s="51" t="n"/>
      <c r="I221" s="50">
        <f>IF(AND(ISNUMBER(G221),ISNUMBER(H221)),H221-G221,"")</f>
        <v/>
      </c>
      <c r="J221" s="50">
        <f>IF(ISNUMBER(I221),ABS(I221),"")</f>
        <v/>
      </c>
      <c r="K221" s="52">
        <f>IF(ISNUMBER(I221),I221^2,"")</f>
        <v/>
      </c>
    </row>
    <row r="222" ht="15" customHeight="1" s="32">
      <c r="A222" s="41" t="inlineStr">
        <is>
          <t>elbow</t>
        </is>
      </c>
      <c r="B222" s="41" t="n">
        <v>2</v>
      </c>
      <c r="C222" s="41" t="inlineStr">
        <is>
          <t>down</t>
        </is>
      </c>
      <c r="D222" s="41" t="n">
        <v>80</v>
      </c>
      <c r="E222" s="48" t="n"/>
      <c r="F222" s="48" t="n"/>
      <c r="G222" s="50">
        <f>IF(ISNUMBER(E222),E222-IF(ISNUMBER(F222),F222,0),"")</f>
        <v/>
      </c>
      <c r="H222" s="51" t="n"/>
      <c r="I222" s="50">
        <f>IF(AND(ISNUMBER(G222),ISNUMBER(H222)),H222-G222,"")</f>
        <v/>
      </c>
      <c r="J222" s="50">
        <f>IF(ISNUMBER(I222),ABS(I222),"")</f>
        <v/>
      </c>
      <c r="K222" s="52">
        <f>IF(ISNUMBER(I222),I222^2,"")</f>
        <v/>
      </c>
    </row>
    <row r="223" ht="15" customHeight="1" s="32">
      <c r="A223" s="41" t="inlineStr">
        <is>
          <t>elbow</t>
        </is>
      </c>
      <c r="B223" s="41" t="n">
        <v>2</v>
      </c>
      <c r="C223" s="41" t="inlineStr">
        <is>
          <t>down</t>
        </is>
      </c>
      <c r="D223" s="41" t="n">
        <v>70</v>
      </c>
      <c r="E223" s="48" t="n"/>
      <c r="F223" s="48" t="n"/>
      <c r="G223" s="50">
        <f>IF(ISNUMBER(E223),E223-IF(ISNUMBER(F223),F223,0),"")</f>
        <v/>
      </c>
      <c r="H223" s="51" t="n"/>
      <c r="I223" s="50">
        <f>IF(AND(ISNUMBER(G223),ISNUMBER(H223)),H223-G223,"")</f>
        <v/>
      </c>
      <c r="J223" s="50">
        <f>IF(ISNUMBER(I223),ABS(I223),"")</f>
        <v/>
      </c>
      <c r="K223" s="52">
        <f>IF(ISNUMBER(I223),I223^2,"")</f>
        <v/>
      </c>
    </row>
    <row r="224" ht="15" customHeight="1" s="32">
      <c r="A224" s="41" t="inlineStr">
        <is>
          <t>elbow</t>
        </is>
      </c>
      <c r="B224" s="41" t="n">
        <v>2</v>
      </c>
      <c r="C224" s="41" t="inlineStr">
        <is>
          <t>down</t>
        </is>
      </c>
      <c r="D224" s="41" t="n">
        <v>60</v>
      </c>
      <c r="E224" s="48" t="n"/>
      <c r="F224" s="48" t="n"/>
      <c r="G224" s="50">
        <f>IF(ISNUMBER(E224),E224-IF(ISNUMBER(F224),F224,0),"")</f>
        <v/>
      </c>
      <c r="H224" s="51" t="n"/>
      <c r="I224" s="50">
        <f>IF(AND(ISNUMBER(G224),ISNUMBER(H224)),H224-G224,"")</f>
        <v/>
      </c>
      <c r="J224" s="50">
        <f>IF(ISNUMBER(I224),ABS(I224),"")</f>
        <v/>
      </c>
      <c r="K224" s="52">
        <f>IF(ISNUMBER(I224),I224^2,"")</f>
        <v/>
      </c>
    </row>
    <row r="225" ht="15" customHeight="1" s="32">
      <c r="A225" s="41" t="inlineStr">
        <is>
          <t>elbow</t>
        </is>
      </c>
      <c r="B225" s="41" t="n">
        <v>2</v>
      </c>
      <c r="C225" s="41" t="inlineStr">
        <is>
          <t>down</t>
        </is>
      </c>
      <c r="D225" s="41" t="n">
        <v>50</v>
      </c>
      <c r="E225" s="48" t="n"/>
      <c r="F225" s="48" t="n"/>
      <c r="G225" s="50">
        <f>IF(ISNUMBER(E225),E225-IF(ISNUMBER(F225),F225,0),"")</f>
        <v/>
      </c>
      <c r="H225" s="51" t="n"/>
      <c r="I225" s="50">
        <f>IF(AND(ISNUMBER(G225),ISNUMBER(H225)),H225-G225,"")</f>
        <v/>
      </c>
      <c r="J225" s="50">
        <f>IF(ISNUMBER(I225),ABS(I225),"")</f>
        <v/>
      </c>
      <c r="K225" s="52">
        <f>IF(ISNUMBER(I225),I225^2,"")</f>
        <v/>
      </c>
    </row>
    <row r="226" ht="15" customHeight="1" s="32">
      <c r="A226" s="41" t="inlineStr">
        <is>
          <t>elbow</t>
        </is>
      </c>
      <c r="B226" s="41" t="n">
        <v>2</v>
      </c>
      <c r="C226" s="41" t="inlineStr">
        <is>
          <t>down</t>
        </is>
      </c>
      <c r="D226" s="41" t="n">
        <v>40</v>
      </c>
      <c r="E226" s="48" t="n"/>
      <c r="F226" s="48" t="n"/>
      <c r="G226" s="50">
        <f>IF(ISNUMBER(E226),E226-IF(ISNUMBER(F226),F226,0),"")</f>
        <v/>
      </c>
      <c r="H226" s="51" t="n"/>
      <c r="I226" s="50">
        <f>IF(AND(ISNUMBER(G226),ISNUMBER(H226)),H226-G226,"")</f>
        <v/>
      </c>
      <c r="J226" s="50">
        <f>IF(ISNUMBER(I226),ABS(I226),"")</f>
        <v/>
      </c>
      <c r="K226" s="52">
        <f>IF(ISNUMBER(I226),I226^2,"")</f>
        <v/>
      </c>
    </row>
    <row r="227" ht="15" customHeight="1" s="32">
      <c r="A227" s="41" t="inlineStr">
        <is>
          <t>elbow</t>
        </is>
      </c>
      <c r="B227" s="41" t="n">
        <v>2</v>
      </c>
      <c r="C227" s="41" t="inlineStr">
        <is>
          <t>down</t>
        </is>
      </c>
      <c r="D227" s="41" t="n">
        <v>30</v>
      </c>
      <c r="E227" s="48" t="n"/>
      <c r="F227" s="48" t="n"/>
      <c r="G227" s="50">
        <f>IF(ISNUMBER(E227),E227-IF(ISNUMBER(F227),F227,0),"")</f>
        <v/>
      </c>
      <c r="H227" s="51" t="n"/>
      <c r="I227" s="50">
        <f>IF(AND(ISNUMBER(G227),ISNUMBER(H227)),H227-G227,"")</f>
        <v/>
      </c>
      <c r="J227" s="50">
        <f>IF(ISNUMBER(I227),ABS(I227),"")</f>
        <v/>
      </c>
      <c r="K227" s="52">
        <f>IF(ISNUMBER(I227),I227^2,"")</f>
        <v/>
      </c>
    </row>
    <row r="228" ht="15" customHeight="1" s="32">
      <c r="A228" s="41" t="inlineStr">
        <is>
          <t>elbow</t>
        </is>
      </c>
      <c r="B228" s="41" t="n">
        <v>2</v>
      </c>
      <c r="C228" s="41" t="inlineStr">
        <is>
          <t>down</t>
        </is>
      </c>
      <c r="D228" s="41" t="n">
        <v>20</v>
      </c>
      <c r="E228" s="48" t="n"/>
      <c r="F228" s="48" t="n"/>
      <c r="G228" s="50">
        <f>IF(ISNUMBER(E228),E228-IF(ISNUMBER(F228),F228,0),"")</f>
        <v/>
      </c>
      <c r="H228" s="51" t="n"/>
      <c r="I228" s="50">
        <f>IF(AND(ISNUMBER(G228),ISNUMBER(H228)),H228-G228,"")</f>
        <v/>
      </c>
      <c r="J228" s="50">
        <f>IF(ISNUMBER(I228),ABS(I228),"")</f>
        <v/>
      </c>
      <c r="K228" s="52">
        <f>IF(ISNUMBER(I228),I228^2,"")</f>
        <v/>
      </c>
    </row>
    <row r="229" ht="15" customHeight="1" s="32">
      <c r="A229" s="41" t="inlineStr">
        <is>
          <t>elbow</t>
        </is>
      </c>
      <c r="B229" s="41" t="n">
        <v>2</v>
      </c>
      <c r="C229" s="41" t="inlineStr">
        <is>
          <t>down</t>
        </is>
      </c>
      <c r="D229" s="41" t="n">
        <v>10</v>
      </c>
      <c r="E229" s="48" t="n"/>
      <c r="F229" s="48" t="n"/>
      <c r="G229" s="50">
        <f>IF(ISNUMBER(E229),E229-IF(ISNUMBER(F229),F229,0),"")</f>
        <v/>
      </c>
      <c r="H229" s="51" t="n"/>
      <c r="I229" s="50">
        <f>IF(AND(ISNUMBER(G229),ISNUMBER(H229)),H229-G229,"")</f>
        <v/>
      </c>
      <c r="J229" s="50">
        <f>IF(ISNUMBER(I229),ABS(I229),"")</f>
        <v/>
      </c>
      <c r="K229" s="52">
        <f>IF(ISNUMBER(I229),I229^2,"")</f>
        <v/>
      </c>
    </row>
    <row r="230" ht="15" customHeight="1" s="32">
      <c r="A230" s="41" t="inlineStr">
        <is>
          <t>elbow</t>
        </is>
      </c>
      <c r="B230" s="41" t="n">
        <v>2</v>
      </c>
      <c r="C230" s="41" t="inlineStr">
        <is>
          <t>down</t>
        </is>
      </c>
      <c r="D230" s="41" t="n">
        <v>0</v>
      </c>
      <c r="E230" s="48" t="n"/>
      <c r="F230" s="48" t="n"/>
      <c r="G230" s="50">
        <f>IF(ISNUMBER(E230),E230-IF(ISNUMBER(F230),F230,0),"")</f>
        <v/>
      </c>
      <c r="H230" s="51" t="n"/>
      <c r="I230" s="50">
        <f>IF(AND(ISNUMBER(G230),ISNUMBER(H230)),H230-G230,"")</f>
        <v/>
      </c>
      <c r="J230" s="50">
        <f>IF(ISNUMBER(I230),ABS(I230),"")</f>
        <v/>
      </c>
      <c r="K230" s="52">
        <f>IF(ISNUMBER(I230),I230^2,"")</f>
        <v/>
      </c>
    </row>
    <row r="231" ht="15" customHeight="1" s="32">
      <c r="A231" s="41" t="inlineStr">
        <is>
          <t>elbow</t>
        </is>
      </c>
      <c r="B231" s="41" t="n">
        <v>2</v>
      </c>
      <c r="C231" s="41" t="inlineStr">
        <is>
          <t>down</t>
        </is>
      </c>
      <c r="D231" s="41" t="n">
        <v>-10</v>
      </c>
      <c r="E231" s="48" t="n"/>
      <c r="F231" s="48" t="n"/>
      <c r="G231" s="50">
        <f>IF(ISNUMBER(E231),E231-IF(ISNUMBER(F231),F231,0),"")</f>
        <v/>
      </c>
      <c r="H231" s="51" t="n"/>
      <c r="I231" s="50">
        <f>IF(AND(ISNUMBER(G231),ISNUMBER(H231)),H231-G231,"")</f>
        <v/>
      </c>
      <c r="J231" s="50">
        <f>IF(ISNUMBER(I231),ABS(I231),"")</f>
        <v/>
      </c>
      <c r="K231" s="52">
        <f>IF(ISNUMBER(I231),I231^2,"")</f>
        <v/>
      </c>
    </row>
    <row r="232" ht="15" customHeight="1" s="32">
      <c r="A232" s="41" t="inlineStr">
        <is>
          <t>elbow</t>
        </is>
      </c>
      <c r="B232" s="41" t="n">
        <v>2</v>
      </c>
      <c r="C232" s="41" t="inlineStr">
        <is>
          <t>down</t>
        </is>
      </c>
      <c r="D232" s="41" t="n">
        <v>-20</v>
      </c>
      <c r="E232" s="48" t="n"/>
      <c r="F232" s="48" t="n"/>
      <c r="G232" s="50">
        <f>IF(ISNUMBER(E232),E232-IF(ISNUMBER(F232),F232,0),"")</f>
        <v/>
      </c>
      <c r="H232" s="51" t="n"/>
      <c r="I232" s="50">
        <f>IF(AND(ISNUMBER(G232),ISNUMBER(H232)),H232-G232,"")</f>
        <v/>
      </c>
      <c r="J232" s="50">
        <f>IF(ISNUMBER(I232),ABS(I232),"")</f>
        <v/>
      </c>
      <c r="K232" s="52">
        <f>IF(ISNUMBER(I232),I232^2,"")</f>
        <v/>
      </c>
    </row>
    <row r="233" ht="15" customHeight="1" s="32">
      <c r="A233" s="41" t="inlineStr">
        <is>
          <t>elbow</t>
        </is>
      </c>
      <c r="B233" s="41" t="n">
        <v>2</v>
      </c>
      <c r="C233" s="41" t="inlineStr">
        <is>
          <t>down</t>
        </is>
      </c>
      <c r="D233" s="41" t="n">
        <v>-30</v>
      </c>
      <c r="E233" s="48" t="n"/>
      <c r="F233" s="48" t="n"/>
      <c r="G233" s="50">
        <f>IF(ISNUMBER(E233),E233-IF(ISNUMBER(F233),F233,0),"")</f>
        <v/>
      </c>
      <c r="H233" s="51" t="n"/>
      <c r="I233" s="50">
        <f>IF(AND(ISNUMBER(G233),ISNUMBER(H233)),H233-G233,"")</f>
        <v/>
      </c>
      <c r="J233" s="50">
        <f>IF(ISNUMBER(I233),ABS(I233),"")</f>
        <v/>
      </c>
      <c r="K233" s="52">
        <f>IF(ISNUMBER(I233),I233^2,"")</f>
        <v/>
      </c>
    </row>
    <row r="234" ht="15" customHeight="1" s="32">
      <c r="A234" s="41" t="inlineStr">
        <is>
          <t>elbow</t>
        </is>
      </c>
      <c r="B234" s="41" t="n">
        <v>2</v>
      </c>
      <c r="C234" s="41" t="inlineStr">
        <is>
          <t>down</t>
        </is>
      </c>
      <c r="D234" s="41" t="n">
        <v>-40</v>
      </c>
      <c r="E234" s="48" t="n"/>
      <c r="F234" s="48" t="n"/>
      <c r="G234" s="50">
        <f>IF(ISNUMBER(E234),E234-IF(ISNUMBER(F234),F234,0),"")</f>
        <v/>
      </c>
      <c r="H234" s="51" t="n"/>
      <c r="I234" s="50">
        <f>IF(AND(ISNUMBER(G234),ISNUMBER(H234)),H234-G234,"")</f>
        <v/>
      </c>
      <c r="J234" s="50">
        <f>IF(ISNUMBER(I234),ABS(I234),"")</f>
        <v/>
      </c>
      <c r="K234" s="52">
        <f>IF(ISNUMBER(I234),I234^2,"")</f>
        <v/>
      </c>
    </row>
    <row r="235" ht="15" customHeight="1" s="32">
      <c r="A235" s="41" t="inlineStr">
        <is>
          <t>elbow</t>
        </is>
      </c>
      <c r="B235" s="41" t="n">
        <v>2</v>
      </c>
      <c r="C235" s="41" t="inlineStr">
        <is>
          <t>down</t>
        </is>
      </c>
      <c r="D235" s="41" t="n">
        <v>-50</v>
      </c>
      <c r="E235" s="48" t="n"/>
      <c r="F235" s="48" t="n"/>
      <c r="G235" s="50">
        <f>IF(ISNUMBER(E235),E235-IF(ISNUMBER(F235),F235,0),"")</f>
        <v/>
      </c>
      <c r="H235" s="51" t="n"/>
      <c r="I235" s="50">
        <f>IF(AND(ISNUMBER(G235),ISNUMBER(H235)),H235-G235,"")</f>
        <v/>
      </c>
      <c r="J235" s="50">
        <f>IF(ISNUMBER(I235),ABS(I235),"")</f>
        <v/>
      </c>
      <c r="K235" s="52">
        <f>IF(ISNUMBER(I235),I235^2,"")</f>
        <v/>
      </c>
    </row>
    <row r="236" ht="15" customHeight="1" s="32">
      <c r="A236" s="41" t="inlineStr">
        <is>
          <t>elbow</t>
        </is>
      </c>
      <c r="B236" s="41" t="n">
        <v>2</v>
      </c>
      <c r="C236" s="41" t="inlineStr">
        <is>
          <t>down</t>
        </is>
      </c>
      <c r="D236" s="41" t="n">
        <v>-60</v>
      </c>
      <c r="E236" s="48" t="n"/>
      <c r="F236" s="48" t="n"/>
      <c r="G236" s="50">
        <f>IF(ISNUMBER(E236),E236-IF(ISNUMBER(F236),F236,0),"")</f>
        <v/>
      </c>
      <c r="H236" s="51" t="n"/>
      <c r="I236" s="50">
        <f>IF(AND(ISNUMBER(G236),ISNUMBER(H236)),H236-G236,"")</f>
        <v/>
      </c>
      <c r="J236" s="50">
        <f>IF(ISNUMBER(I236),ABS(I236),"")</f>
        <v/>
      </c>
      <c r="K236" s="52">
        <f>IF(ISNUMBER(I236),I236^2,"")</f>
        <v/>
      </c>
    </row>
    <row r="237" ht="15" customHeight="1" s="32">
      <c r="A237" s="41" t="inlineStr">
        <is>
          <t>elbow</t>
        </is>
      </c>
      <c r="B237" s="41" t="n">
        <v>2</v>
      </c>
      <c r="C237" s="41" t="inlineStr">
        <is>
          <t>down</t>
        </is>
      </c>
      <c r="D237" s="41" t="n">
        <v>-70</v>
      </c>
      <c r="E237" s="48" t="n"/>
      <c r="F237" s="48" t="n"/>
      <c r="G237" s="50">
        <f>IF(ISNUMBER(E237),E237-IF(ISNUMBER(F237),F237,0),"")</f>
        <v/>
      </c>
      <c r="H237" s="51" t="n"/>
      <c r="I237" s="50">
        <f>IF(AND(ISNUMBER(G237),ISNUMBER(H237)),H237-G237,"")</f>
        <v/>
      </c>
      <c r="J237" s="50">
        <f>IF(ISNUMBER(I237),ABS(I237),"")</f>
        <v/>
      </c>
      <c r="K237" s="52">
        <f>IF(ISNUMBER(I237),I237^2,"")</f>
        <v/>
      </c>
    </row>
    <row r="238" ht="15" customHeight="1" s="32">
      <c r="A238" s="41" t="inlineStr">
        <is>
          <t>elbow</t>
        </is>
      </c>
      <c r="B238" s="41" t="n">
        <v>2</v>
      </c>
      <c r="C238" s="41" t="inlineStr">
        <is>
          <t>down</t>
        </is>
      </c>
      <c r="D238" s="41" t="n">
        <v>-80</v>
      </c>
      <c r="E238" s="48" t="n"/>
      <c r="F238" s="48" t="n"/>
      <c r="G238" s="50">
        <f>IF(ISNUMBER(E238),E238-IF(ISNUMBER(F238),F238,0),"")</f>
        <v/>
      </c>
      <c r="H238" s="51" t="n"/>
      <c r="I238" s="50">
        <f>IF(AND(ISNUMBER(G238),ISNUMBER(H238)),H238-G238,"")</f>
        <v/>
      </c>
      <c r="J238" s="50">
        <f>IF(ISNUMBER(I238),ABS(I238),"")</f>
        <v/>
      </c>
      <c r="K238" s="52">
        <f>IF(ISNUMBER(I238),I238^2,"")</f>
        <v/>
      </c>
    </row>
    <row r="239" ht="15" customHeight="1" s="32">
      <c r="A239" s="41" t="inlineStr">
        <is>
          <t>elbow</t>
        </is>
      </c>
      <c r="B239" s="41" t="n">
        <v>2</v>
      </c>
      <c r="C239" s="41" t="inlineStr">
        <is>
          <t>down</t>
        </is>
      </c>
      <c r="D239" s="41" t="n">
        <v>-90</v>
      </c>
      <c r="E239" s="48" t="n"/>
      <c r="F239" s="48" t="n"/>
      <c r="G239" s="50">
        <f>IF(ISNUMBER(E239),E239-IF(ISNUMBER(F239),F239,0),"")</f>
        <v/>
      </c>
      <c r="H239" s="51" t="n"/>
      <c r="I239" s="50">
        <f>IF(AND(ISNUMBER(G239),ISNUMBER(H239)),H239-G239,"")</f>
        <v/>
      </c>
      <c r="J239" s="50">
        <f>IF(ISNUMBER(I239),ABS(I239),"")</f>
        <v/>
      </c>
      <c r="K239" s="52">
        <f>IF(ISNUMBER(I239),I239^2,"")</f>
        <v/>
      </c>
    </row>
    <row r="240" ht="15" customHeight="1" s="32">
      <c r="A240" s="41" t="inlineStr">
        <is>
          <t>elbow</t>
        </is>
      </c>
      <c r="B240" s="41" t="n">
        <v>3</v>
      </c>
      <c r="C240" s="41" t="inlineStr">
        <is>
          <t>up</t>
        </is>
      </c>
      <c r="D240" s="41" t="n">
        <v>-90</v>
      </c>
      <c r="E240" s="48" t="n"/>
      <c r="F240" s="48" t="n"/>
      <c r="G240" s="50">
        <f>IF(ISNUMBER(E240),E240-IF(ISNUMBER(F240),F240,0),"")</f>
        <v/>
      </c>
      <c r="H240" s="51" t="n"/>
      <c r="I240" s="50">
        <f>IF(AND(ISNUMBER(G240),ISNUMBER(H240)),H240-G240,"")</f>
        <v/>
      </c>
      <c r="J240" s="50">
        <f>IF(ISNUMBER(I240),ABS(I240),"")</f>
        <v/>
      </c>
      <c r="K240" s="52">
        <f>IF(ISNUMBER(I240),I240^2,"")</f>
        <v/>
      </c>
    </row>
    <row r="241" ht="15" customHeight="1" s="32">
      <c r="A241" s="41" t="inlineStr">
        <is>
          <t>elbow</t>
        </is>
      </c>
      <c r="B241" s="41" t="n">
        <v>3</v>
      </c>
      <c r="C241" s="41" t="inlineStr">
        <is>
          <t>up</t>
        </is>
      </c>
      <c r="D241" s="41" t="n">
        <v>-80</v>
      </c>
      <c r="E241" s="48" t="n"/>
      <c r="F241" s="48" t="n"/>
      <c r="G241" s="50">
        <f>IF(ISNUMBER(E241),E241-IF(ISNUMBER(F241),F241,0),"")</f>
        <v/>
      </c>
      <c r="H241" s="51" t="n"/>
      <c r="I241" s="50">
        <f>IF(AND(ISNUMBER(G241),ISNUMBER(H241)),H241-G241,"")</f>
        <v/>
      </c>
      <c r="J241" s="50">
        <f>IF(ISNUMBER(I241),ABS(I241),"")</f>
        <v/>
      </c>
      <c r="K241" s="52">
        <f>IF(ISNUMBER(I241),I241^2,"")</f>
        <v/>
      </c>
    </row>
    <row r="242" ht="15" customHeight="1" s="32">
      <c r="A242" s="41" t="inlineStr">
        <is>
          <t>elbow</t>
        </is>
      </c>
      <c r="B242" s="41" t="n">
        <v>3</v>
      </c>
      <c r="C242" s="41" t="inlineStr">
        <is>
          <t>up</t>
        </is>
      </c>
      <c r="D242" s="41" t="n">
        <v>-70</v>
      </c>
      <c r="E242" s="48" t="n"/>
      <c r="F242" s="48" t="n"/>
      <c r="G242" s="50">
        <f>IF(ISNUMBER(E242),E242-IF(ISNUMBER(F242),F242,0),"")</f>
        <v/>
      </c>
      <c r="H242" s="51" t="n"/>
      <c r="I242" s="50">
        <f>IF(AND(ISNUMBER(G242),ISNUMBER(H242)),H242-G242,"")</f>
        <v/>
      </c>
      <c r="J242" s="50">
        <f>IF(ISNUMBER(I242),ABS(I242),"")</f>
        <v/>
      </c>
      <c r="K242" s="52">
        <f>IF(ISNUMBER(I242),I242^2,"")</f>
        <v/>
      </c>
    </row>
    <row r="243" ht="15" customHeight="1" s="32">
      <c r="A243" s="41" t="inlineStr">
        <is>
          <t>elbow</t>
        </is>
      </c>
      <c r="B243" s="41" t="n">
        <v>3</v>
      </c>
      <c r="C243" s="41" t="inlineStr">
        <is>
          <t>up</t>
        </is>
      </c>
      <c r="D243" s="41" t="n">
        <v>-60</v>
      </c>
      <c r="E243" s="48" t="n"/>
      <c r="F243" s="48" t="n"/>
      <c r="G243" s="50">
        <f>IF(ISNUMBER(E243),E243-IF(ISNUMBER(F243),F243,0),"")</f>
        <v/>
      </c>
      <c r="H243" s="51" t="n"/>
      <c r="I243" s="50">
        <f>IF(AND(ISNUMBER(G243),ISNUMBER(H243)),H243-G243,"")</f>
        <v/>
      </c>
      <c r="J243" s="50">
        <f>IF(ISNUMBER(I243),ABS(I243),"")</f>
        <v/>
      </c>
      <c r="K243" s="52">
        <f>IF(ISNUMBER(I243),I243^2,"")</f>
        <v/>
      </c>
    </row>
    <row r="244" ht="15" customHeight="1" s="32">
      <c r="A244" s="41" t="inlineStr">
        <is>
          <t>elbow</t>
        </is>
      </c>
      <c r="B244" s="41" t="n">
        <v>3</v>
      </c>
      <c r="C244" s="41" t="inlineStr">
        <is>
          <t>up</t>
        </is>
      </c>
      <c r="D244" s="41" t="n">
        <v>-50</v>
      </c>
      <c r="E244" s="48" t="n"/>
      <c r="F244" s="48" t="n"/>
      <c r="G244" s="50">
        <f>IF(ISNUMBER(E244),E244-IF(ISNUMBER(F244),F244,0),"")</f>
        <v/>
      </c>
      <c r="H244" s="51" t="n"/>
      <c r="I244" s="50">
        <f>IF(AND(ISNUMBER(G244),ISNUMBER(H244)),H244-G244,"")</f>
        <v/>
      </c>
      <c r="J244" s="50">
        <f>IF(ISNUMBER(I244),ABS(I244),"")</f>
        <v/>
      </c>
      <c r="K244" s="52">
        <f>IF(ISNUMBER(I244),I244^2,"")</f>
        <v/>
      </c>
    </row>
    <row r="245" ht="15" customHeight="1" s="32">
      <c r="A245" s="41" t="inlineStr">
        <is>
          <t>elbow</t>
        </is>
      </c>
      <c r="B245" s="41" t="n">
        <v>3</v>
      </c>
      <c r="C245" s="41" t="inlineStr">
        <is>
          <t>up</t>
        </is>
      </c>
      <c r="D245" s="41" t="n">
        <v>-40</v>
      </c>
      <c r="E245" s="48" t="n"/>
      <c r="F245" s="48" t="n"/>
      <c r="G245" s="50">
        <f>IF(ISNUMBER(E245),E245-IF(ISNUMBER(F245),F245,0),"")</f>
        <v/>
      </c>
      <c r="H245" s="51" t="n"/>
      <c r="I245" s="50">
        <f>IF(AND(ISNUMBER(G245),ISNUMBER(H245)),H245-G245,"")</f>
        <v/>
      </c>
      <c r="J245" s="50">
        <f>IF(ISNUMBER(I245),ABS(I245),"")</f>
        <v/>
      </c>
      <c r="K245" s="52">
        <f>IF(ISNUMBER(I245),I245^2,"")</f>
        <v/>
      </c>
    </row>
    <row r="246" ht="15" customHeight="1" s="32">
      <c r="A246" s="41" t="inlineStr">
        <is>
          <t>elbow</t>
        </is>
      </c>
      <c r="B246" s="41" t="n">
        <v>3</v>
      </c>
      <c r="C246" s="41" t="inlineStr">
        <is>
          <t>up</t>
        </is>
      </c>
      <c r="D246" s="41" t="n">
        <v>-30</v>
      </c>
      <c r="E246" s="48" t="n"/>
      <c r="F246" s="48" t="n"/>
      <c r="G246" s="50">
        <f>IF(ISNUMBER(E246),E246-IF(ISNUMBER(F246),F246,0),"")</f>
        <v/>
      </c>
      <c r="H246" s="51" t="n"/>
      <c r="I246" s="50">
        <f>IF(AND(ISNUMBER(G246),ISNUMBER(H246)),H246-G246,"")</f>
        <v/>
      </c>
      <c r="J246" s="50">
        <f>IF(ISNUMBER(I246),ABS(I246),"")</f>
        <v/>
      </c>
      <c r="K246" s="52">
        <f>IF(ISNUMBER(I246),I246^2,"")</f>
        <v/>
      </c>
    </row>
    <row r="247" ht="15" customHeight="1" s="32">
      <c r="A247" s="41" t="inlineStr">
        <is>
          <t>elbow</t>
        </is>
      </c>
      <c r="B247" s="41" t="n">
        <v>3</v>
      </c>
      <c r="C247" s="41" t="inlineStr">
        <is>
          <t>up</t>
        </is>
      </c>
      <c r="D247" s="41" t="n">
        <v>-20</v>
      </c>
      <c r="E247" s="48" t="n"/>
      <c r="F247" s="48" t="n"/>
      <c r="G247" s="50">
        <f>IF(ISNUMBER(E247),E247-IF(ISNUMBER(F247),F247,0),"")</f>
        <v/>
      </c>
      <c r="H247" s="51" t="n"/>
      <c r="I247" s="50">
        <f>IF(AND(ISNUMBER(G247),ISNUMBER(H247)),H247-G247,"")</f>
        <v/>
      </c>
      <c r="J247" s="50">
        <f>IF(ISNUMBER(I247),ABS(I247),"")</f>
        <v/>
      </c>
      <c r="K247" s="52">
        <f>IF(ISNUMBER(I247),I247^2,"")</f>
        <v/>
      </c>
    </row>
    <row r="248" ht="15" customHeight="1" s="32">
      <c r="A248" s="41" t="inlineStr">
        <is>
          <t>elbow</t>
        </is>
      </c>
      <c r="B248" s="41" t="n">
        <v>3</v>
      </c>
      <c r="C248" s="41" t="inlineStr">
        <is>
          <t>up</t>
        </is>
      </c>
      <c r="D248" s="41" t="n">
        <v>-10</v>
      </c>
      <c r="E248" s="48" t="n"/>
      <c r="F248" s="48" t="n"/>
      <c r="G248" s="50">
        <f>IF(ISNUMBER(E248),E248-IF(ISNUMBER(F248),F248,0),"")</f>
        <v/>
      </c>
      <c r="H248" s="51" t="n"/>
      <c r="I248" s="50">
        <f>IF(AND(ISNUMBER(G248),ISNUMBER(H248)),H248-G248,"")</f>
        <v/>
      </c>
      <c r="J248" s="50">
        <f>IF(ISNUMBER(I248),ABS(I248),"")</f>
        <v/>
      </c>
      <c r="K248" s="52">
        <f>IF(ISNUMBER(I248),I248^2,"")</f>
        <v/>
      </c>
    </row>
    <row r="249" ht="15" customHeight="1" s="32">
      <c r="A249" s="41" t="inlineStr">
        <is>
          <t>elbow</t>
        </is>
      </c>
      <c r="B249" s="41" t="n">
        <v>3</v>
      </c>
      <c r="C249" s="41" t="inlineStr">
        <is>
          <t>up</t>
        </is>
      </c>
      <c r="D249" s="41" t="n">
        <v>0</v>
      </c>
      <c r="E249" s="48" t="n"/>
      <c r="F249" s="48" t="n"/>
      <c r="G249" s="50">
        <f>IF(ISNUMBER(E249),E249-IF(ISNUMBER(F249),F249,0),"")</f>
        <v/>
      </c>
      <c r="H249" s="51" t="n"/>
      <c r="I249" s="50">
        <f>IF(AND(ISNUMBER(G249),ISNUMBER(H249)),H249-G249,"")</f>
        <v/>
      </c>
      <c r="J249" s="50">
        <f>IF(ISNUMBER(I249),ABS(I249),"")</f>
        <v/>
      </c>
      <c r="K249" s="52">
        <f>IF(ISNUMBER(I249),I249^2,"")</f>
        <v/>
      </c>
    </row>
    <row r="250" ht="15" customHeight="1" s="32">
      <c r="A250" s="41" t="inlineStr">
        <is>
          <t>elbow</t>
        </is>
      </c>
      <c r="B250" s="41" t="n">
        <v>3</v>
      </c>
      <c r="C250" s="41" t="inlineStr">
        <is>
          <t>up</t>
        </is>
      </c>
      <c r="D250" s="41" t="n">
        <v>10</v>
      </c>
      <c r="E250" s="48" t="n"/>
      <c r="F250" s="48" t="n"/>
      <c r="G250" s="50">
        <f>IF(ISNUMBER(E250),E250-IF(ISNUMBER(F250),F250,0),"")</f>
        <v/>
      </c>
      <c r="H250" s="51" t="n"/>
      <c r="I250" s="50">
        <f>IF(AND(ISNUMBER(G250),ISNUMBER(H250)),H250-G250,"")</f>
        <v/>
      </c>
      <c r="J250" s="50">
        <f>IF(ISNUMBER(I250),ABS(I250),"")</f>
        <v/>
      </c>
      <c r="K250" s="52">
        <f>IF(ISNUMBER(I250),I250^2,"")</f>
        <v/>
      </c>
    </row>
    <row r="251" ht="15" customHeight="1" s="32">
      <c r="A251" s="41" t="inlineStr">
        <is>
          <t>elbow</t>
        </is>
      </c>
      <c r="B251" s="41" t="n">
        <v>3</v>
      </c>
      <c r="C251" s="41" t="inlineStr">
        <is>
          <t>up</t>
        </is>
      </c>
      <c r="D251" s="41" t="n">
        <v>20</v>
      </c>
      <c r="E251" s="48" t="n"/>
      <c r="F251" s="48" t="n"/>
      <c r="G251" s="50">
        <f>IF(ISNUMBER(E251),E251-IF(ISNUMBER(F251),F251,0),"")</f>
        <v/>
      </c>
      <c r="H251" s="51" t="n"/>
      <c r="I251" s="50">
        <f>IF(AND(ISNUMBER(G251),ISNUMBER(H251)),H251-G251,"")</f>
        <v/>
      </c>
      <c r="J251" s="50">
        <f>IF(ISNUMBER(I251),ABS(I251),"")</f>
        <v/>
      </c>
      <c r="K251" s="52">
        <f>IF(ISNUMBER(I251),I251^2,"")</f>
        <v/>
      </c>
    </row>
    <row r="252" ht="15" customHeight="1" s="32">
      <c r="A252" s="41" t="inlineStr">
        <is>
          <t>elbow</t>
        </is>
      </c>
      <c r="B252" s="41" t="n">
        <v>3</v>
      </c>
      <c r="C252" s="41" t="inlineStr">
        <is>
          <t>up</t>
        </is>
      </c>
      <c r="D252" s="41" t="n">
        <v>30</v>
      </c>
      <c r="E252" s="48" t="n"/>
      <c r="F252" s="48" t="n"/>
      <c r="G252" s="50">
        <f>IF(ISNUMBER(E252),E252-IF(ISNUMBER(F252),F252,0),"")</f>
        <v/>
      </c>
      <c r="H252" s="51" t="n"/>
      <c r="I252" s="50">
        <f>IF(AND(ISNUMBER(G252),ISNUMBER(H252)),H252-G252,"")</f>
        <v/>
      </c>
      <c r="J252" s="50">
        <f>IF(ISNUMBER(I252),ABS(I252),"")</f>
        <v/>
      </c>
      <c r="K252" s="52">
        <f>IF(ISNUMBER(I252),I252^2,"")</f>
        <v/>
      </c>
    </row>
    <row r="253" ht="15" customHeight="1" s="32">
      <c r="A253" s="41" t="inlineStr">
        <is>
          <t>elbow</t>
        </is>
      </c>
      <c r="B253" s="41" t="n">
        <v>3</v>
      </c>
      <c r="C253" s="41" t="inlineStr">
        <is>
          <t>up</t>
        </is>
      </c>
      <c r="D253" s="41" t="n">
        <v>40</v>
      </c>
      <c r="E253" s="48" t="n"/>
      <c r="F253" s="48" t="n"/>
      <c r="G253" s="50">
        <f>IF(ISNUMBER(E253),E253-IF(ISNUMBER(F253),F253,0),"")</f>
        <v/>
      </c>
      <c r="H253" s="51" t="n"/>
      <c r="I253" s="50">
        <f>IF(AND(ISNUMBER(G253),ISNUMBER(H253)),H253-G253,"")</f>
        <v/>
      </c>
      <c r="J253" s="50">
        <f>IF(ISNUMBER(I253),ABS(I253),"")</f>
        <v/>
      </c>
      <c r="K253" s="52">
        <f>IF(ISNUMBER(I253),I253^2,"")</f>
        <v/>
      </c>
    </row>
    <row r="254" ht="15" customHeight="1" s="32">
      <c r="A254" s="41" t="inlineStr">
        <is>
          <t>elbow</t>
        </is>
      </c>
      <c r="B254" s="41" t="n">
        <v>3</v>
      </c>
      <c r="C254" s="41" t="inlineStr">
        <is>
          <t>up</t>
        </is>
      </c>
      <c r="D254" s="41" t="n">
        <v>50</v>
      </c>
      <c r="E254" s="48" t="n"/>
      <c r="F254" s="48" t="n"/>
      <c r="G254" s="50">
        <f>IF(ISNUMBER(E254),E254-IF(ISNUMBER(F254),F254,0),"")</f>
        <v/>
      </c>
      <c r="H254" s="51" t="n"/>
      <c r="I254" s="50">
        <f>IF(AND(ISNUMBER(G254),ISNUMBER(H254)),H254-G254,"")</f>
        <v/>
      </c>
      <c r="J254" s="50">
        <f>IF(ISNUMBER(I254),ABS(I254),"")</f>
        <v/>
      </c>
      <c r="K254" s="52">
        <f>IF(ISNUMBER(I254),I254^2,"")</f>
        <v/>
      </c>
    </row>
    <row r="255" ht="15" customHeight="1" s="32">
      <c r="A255" s="41" t="inlineStr">
        <is>
          <t>elbow</t>
        </is>
      </c>
      <c r="B255" s="41" t="n">
        <v>3</v>
      </c>
      <c r="C255" s="41" t="inlineStr">
        <is>
          <t>up</t>
        </is>
      </c>
      <c r="D255" s="41" t="n">
        <v>60</v>
      </c>
      <c r="E255" s="48" t="n"/>
      <c r="F255" s="48" t="n"/>
      <c r="G255" s="50">
        <f>IF(ISNUMBER(E255),E255-IF(ISNUMBER(F255),F255,0),"")</f>
        <v/>
      </c>
      <c r="H255" s="51" t="n"/>
      <c r="I255" s="50">
        <f>IF(AND(ISNUMBER(G255),ISNUMBER(H255)),H255-G255,"")</f>
        <v/>
      </c>
      <c r="J255" s="50">
        <f>IF(ISNUMBER(I255),ABS(I255),"")</f>
        <v/>
      </c>
      <c r="K255" s="52">
        <f>IF(ISNUMBER(I255),I255^2,"")</f>
        <v/>
      </c>
    </row>
    <row r="256" ht="15" customHeight="1" s="32">
      <c r="A256" s="41" t="inlineStr">
        <is>
          <t>elbow</t>
        </is>
      </c>
      <c r="B256" s="41" t="n">
        <v>3</v>
      </c>
      <c r="C256" s="41" t="inlineStr">
        <is>
          <t>up</t>
        </is>
      </c>
      <c r="D256" s="41" t="n">
        <v>70</v>
      </c>
      <c r="E256" s="48" t="n"/>
      <c r="F256" s="48" t="n"/>
      <c r="G256" s="50">
        <f>IF(ISNUMBER(E256),E256-IF(ISNUMBER(F256),F256,0),"")</f>
        <v/>
      </c>
      <c r="H256" s="51" t="n"/>
      <c r="I256" s="50">
        <f>IF(AND(ISNUMBER(G256),ISNUMBER(H256)),H256-G256,"")</f>
        <v/>
      </c>
      <c r="J256" s="50">
        <f>IF(ISNUMBER(I256),ABS(I256),"")</f>
        <v/>
      </c>
      <c r="K256" s="52">
        <f>IF(ISNUMBER(I256),I256^2,"")</f>
        <v/>
      </c>
    </row>
    <row r="257" ht="15" customHeight="1" s="32">
      <c r="A257" s="41" t="inlineStr">
        <is>
          <t>elbow</t>
        </is>
      </c>
      <c r="B257" s="41" t="n">
        <v>3</v>
      </c>
      <c r="C257" s="41" t="inlineStr">
        <is>
          <t>up</t>
        </is>
      </c>
      <c r="D257" s="41" t="n">
        <v>80</v>
      </c>
      <c r="E257" s="48" t="n"/>
      <c r="F257" s="48" t="n"/>
      <c r="G257" s="50">
        <f>IF(ISNUMBER(E257),E257-IF(ISNUMBER(F257),F257,0),"")</f>
        <v/>
      </c>
      <c r="H257" s="51" t="n"/>
      <c r="I257" s="50">
        <f>IF(AND(ISNUMBER(G257),ISNUMBER(H257)),H257-G257,"")</f>
        <v/>
      </c>
      <c r="J257" s="50">
        <f>IF(ISNUMBER(I257),ABS(I257),"")</f>
        <v/>
      </c>
      <c r="K257" s="52">
        <f>IF(ISNUMBER(I257),I257^2,"")</f>
        <v/>
      </c>
    </row>
    <row r="258" ht="15" customHeight="1" s="32">
      <c r="A258" s="41" t="inlineStr">
        <is>
          <t>elbow</t>
        </is>
      </c>
      <c r="B258" s="41" t="n">
        <v>3</v>
      </c>
      <c r="C258" s="41" t="inlineStr">
        <is>
          <t>up</t>
        </is>
      </c>
      <c r="D258" s="41" t="n">
        <v>90</v>
      </c>
      <c r="E258" s="48" t="n"/>
      <c r="F258" s="48" t="n"/>
      <c r="G258" s="50">
        <f>IF(ISNUMBER(E258),E258-IF(ISNUMBER(F258),F258,0),"")</f>
        <v/>
      </c>
      <c r="H258" s="51" t="n"/>
      <c r="I258" s="50">
        <f>IF(AND(ISNUMBER(G258),ISNUMBER(H258)),H258-G258,"")</f>
        <v/>
      </c>
      <c r="J258" s="50">
        <f>IF(ISNUMBER(I258),ABS(I258),"")</f>
        <v/>
      </c>
      <c r="K258" s="52">
        <f>IF(ISNUMBER(I258),I258^2,"")</f>
        <v/>
      </c>
    </row>
    <row r="259" ht="15" customHeight="1" s="32">
      <c r="A259" s="41" t="inlineStr">
        <is>
          <t>elbow</t>
        </is>
      </c>
      <c r="B259" s="41" t="n">
        <v>3</v>
      </c>
      <c r="C259" s="41" t="inlineStr">
        <is>
          <t>down</t>
        </is>
      </c>
      <c r="D259" s="41" t="n">
        <v>90</v>
      </c>
      <c r="E259" s="48" t="n"/>
      <c r="F259" s="48" t="n"/>
      <c r="G259" s="50">
        <f>IF(ISNUMBER(E259),E259-IF(ISNUMBER(F259),F259,0),"")</f>
        <v/>
      </c>
      <c r="H259" s="51" t="n"/>
      <c r="I259" s="50">
        <f>IF(AND(ISNUMBER(G259),ISNUMBER(H259)),H259-G259,"")</f>
        <v/>
      </c>
      <c r="J259" s="50">
        <f>IF(ISNUMBER(I259),ABS(I259),"")</f>
        <v/>
      </c>
      <c r="K259" s="52">
        <f>IF(ISNUMBER(I259),I259^2,"")</f>
        <v/>
      </c>
    </row>
    <row r="260" ht="15" customHeight="1" s="32">
      <c r="A260" s="41" t="inlineStr">
        <is>
          <t>elbow</t>
        </is>
      </c>
      <c r="B260" s="41" t="n">
        <v>3</v>
      </c>
      <c r="C260" s="41" t="inlineStr">
        <is>
          <t>down</t>
        </is>
      </c>
      <c r="D260" s="41" t="n">
        <v>80</v>
      </c>
      <c r="E260" s="48" t="n"/>
      <c r="F260" s="48" t="n"/>
      <c r="G260" s="50">
        <f>IF(ISNUMBER(E260),E260-IF(ISNUMBER(F260),F260,0),"")</f>
        <v/>
      </c>
      <c r="H260" s="51" t="n"/>
      <c r="I260" s="50">
        <f>IF(AND(ISNUMBER(G260),ISNUMBER(H260)),H260-G260,"")</f>
        <v/>
      </c>
      <c r="J260" s="50">
        <f>IF(ISNUMBER(I260),ABS(I260),"")</f>
        <v/>
      </c>
      <c r="K260" s="52">
        <f>IF(ISNUMBER(I260),I260^2,"")</f>
        <v/>
      </c>
    </row>
    <row r="261" ht="15" customHeight="1" s="32">
      <c r="A261" s="41" t="inlineStr">
        <is>
          <t>elbow</t>
        </is>
      </c>
      <c r="B261" s="41" t="n">
        <v>3</v>
      </c>
      <c r="C261" s="41" t="inlineStr">
        <is>
          <t>down</t>
        </is>
      </c>
      <c r="D261" s="41" t="n">
        <v>70</v>
      </c>
      <c r="E261" s="48" t="n"/>
      <c r="F261" s="48" t="n"/>
      <c r="G261" s="50">
        <f>IF(ISNUMBER(E261),E261-IF(ISNUMBER(F261),F261,0),"")</f>
        <v/>
      </c>
      <c r="H261" s="51" t="n"/>
      <c r="I261" s="50">
        <f>IF(AND(ISNUMBER(G261),ISNUMBER(H261)),H261-G261,"")</f>
        <v/>
      </c>
      <c r="J261" s="50">
        <f>IF(ISNUMBER(I261),ABS(I261),"")</f>
        <v/>
      </c>
      <c r="K261" s="52">
        <f>IF(ISNUMBER(I261),I261^2,"")</f>
        <v/>
      </c>
    </row>
    <row r="262" ht="15" customHeight="1" s="32">
      <c r="A262" s="41" t="inlineStr">
        <is>
          <t>elbow</t>
        </is>
      </c>
      <c r="B262" s="41" t="n">
        <v>3</v>
      </c>
      <c r="C262" s="41" t="inlineStr">
        <is>
          <t>down</t>
        </is>
      </c>
      <c r="D262" s="41" t="n">
        <v>60</v>
      </c>
      <c r="E262" s="48" t="n"/>
      <c r="F262" s="48" t="n"/>
      <c r="G262" s="50">
        <f>IF(ISNUMBER(E262),E262-IF(ISNUMBER(F262),F262,0),"")</f>
        <v/>
      </c>
      <c r="H262" s="51" t="n"/>
      <c r="I262" s="50">
        <f>IF(AND(ISNUMBER(G262),ISNUMBER(H262)),H262-G262,"")</f>
        <v/>
      </c>
      <c r="J262" s="50">
        <f>IF(ISNUMBER(I262),ABS(I262),"")</f>
        <v/>
      </c>
      <c r="K262" s="52">
        <f>IF(ISNUMBER(I262),I262^2,"")</f>
        <v/>
      </c>
    </row>
    <row r="263" ht="15" customHeight="1" s="32">
      <c r="A263" s="41" t="inlineStr">
        <is>
          <t>elbow</t>
        </is>
      </c>
      <c r="B263" s="41" t="n">
        <v>3</v>
      </c>
      <c r="C263" s="41" t="inlineStr">
        <is>
          <t>down</t>
        </is>
      </c>
      <c r="D263" s="41" t="n">
        <v>50</v>
      </c>
      <c r="E263" s="48" t="n"/>
      <c r="F263" s="48" t="n"/>
      <c r="G263" s="50">
        <f>IF(ISNUMBER(E263),E263-IF(ISNUMBER(F263),F263,0),"")</f>
        <v/>
      </c>
      <c r="H263" s="51" t="n"/>
      <c r="I263" s="50">
        <f>IF(AND(ISNUMBER(G263),ISNUMBER(H263)),H263-G263,"")</f>
        <v/>
      </c>
      <c r="J263" s="50">
        <f>IF(ISNUMBER(I263),ABS(I263),"")</f>
        <v/>
      </c>
      <c r="K263" s="52">
        <f>IF(ISNUMBER(I263),I263^2,"")</f>
        <v/>
      </c>
    </row>
    <row r="264" ht="15" customHeight="1" s="32">
      <c r="A264" s="41" t="inlineStr">
        <is>
          <t>elbow</t>
        </is>
      </c>
      <c r="B264" s="41" t="n">
        <v>3</v>
      </c>
      <c r="C264" s="41" t="inlineStr">
        <is>
          <t>down</t>
        </is>
      </c>
      <c r="D264" s="41" t="n">
        <v>40</v>
      </c>
      <c r="E264" s="48" t="n"/>
      <c r="F264" s="48" t="n"/>
      <c r="G264" s="50">
        <f>IF(ISNUMBER(E264),E264-IF(ISNUMBER(F264),F264,0),"")</f>
        <v/>
      </c>
      <c r="H264" s="51" t="n"/>
      <c r="I264" s="50">
        <f>IF(AND(ISNUMBER(G264),ISNUMBER(H264)),H264-G264,"")</f>
        <v/>
      </c>
      <c r="J264" s="50">
        <f>IF(ISNUMBER(I264),ABS(I264),"")</f>
        <v/>
      </c>
      <c r="K264" s="52">
        <f>IF(ISNUMBER(I264),I264^2,"")</f>
        <v/>
      </c>
    </row>
    <row r="265" ht="15" customHeight="1" s="32">
      <c r="A265" s="41" t="inlineStr">
        <is>
          <t>elbow</t>
        </is>
      </c>
      <c r="B265" s="41" t="n">
        <v>3</v>
      </c>
      <c r="C265" s="41" t="inlineStr">
        <is>
          <t>down</t>
        </is>
      </c>
      <c r="D265" s="41" t="n">
        <v>30</v>
      </c>
      <c r="E265" s="48" t="n"/>
      <c r="F265" s="48" t="n"/>
      <c r="G265" s="50">
        <f>IF(ISNUMBER(E265),E265-IF(ISNUMBER(F265),F265,0),"")</f>
        <v/>
      </c>
      <c r="H265" s="51" t="n"/>
      <c r="I265" s="50">
        <f>IF(AND(ISNUMBER(G265),ISNUMBER(H265)),H265-G265,"")</f>
        <v/>
      </c>
      <c r="J265" s="50">
        <f>IF(ISNUMBER(I265),ABS(I265),"")</f>
        <v/>
      </c>
      <c r="K265" s="52">
        <f>IF(ISNUMBER(I265),I265^2,"")</f>
        <v/>
      </c>
    </row>
    <row r="266" ht="15" customHeight="1" s="32">
      <c r="A266" s="41" t="inlineStr">
        <is>
          <t>elbow</t>
        </is>
      </c>
      <c r="B266" s="41" t="n">
        <v>3</v>
      </c>
      <c r="C266" s="41" t="inlineStr">
        <is>
          <t>down</t>
        </is>
      </c>
      <c r="D266" s="41" t="n">
        <v>20</v>
      </c>
      <c r="E266" s="48" t="n"/>
      <c r="F266" s="48" t="n"/>
      <c r="G266" s="50">
        <f>IF(ISNUMBER(E266),E266-IF(ISNUMBER(F266),F266,0),"")</f>
        <v/>
      </c>
      <c r="H266" s="51" t="n"/>
      <c r="I266" s="50">
        <f>IF(AND(ISNUMBER(G266),ISNUMBER(H266)),H266-G266,"")</f>
        <v/>
      </c>
      <c r="J266" s="50">
        <f>IF(ISNUMBER(I266),ABS(I266),"")</f>
        <v/>
      </c>
      <c r="K266" s="52">
        <f>IF(ISNUMBER(I266),I266^2,"")</f>
        <v/>
      </c>
    </row>
    <row r="267" ht="15" customHeight="1" s="32">
      <c r="A267" s="41" t="inlineStr">
        <is>
          <t>elbow</t>
        </is>
      </c>
      <c r="B267" s="41" t="n">
        <v>3</v>
      </c>
      <c r="C267" s="41" t="inlineStr">
        <is>
          <t>down</t>
        </is>
      </c>
      <c r="D267" s="41" t="n">
        <v>10</v>
      </c>
      <c r="E267" s="48" t="n"/>
      <c r="F267" s="48" t="n"/>
      <c r="G267" s="50">
        <f>IF(ISNUMBER(E267),E267-IF(ISNUMBER(F267),F267,0),"")</f>
        <v/>
      </c>
      <c r="H267" s="51" t="n"/>
      <c r="I267" s="50">
        <f>IF(AND(ISNUMBER(G267),ISNUMBER(H267)),H267-G267,"")</f>
        <v/>
      </c>
      <c r="J267" s="50">
        <f>IF(ISNUMBER(I267),ABS(I267),"")</f>
        <v/>
      </c>
      <c r="K267" s="52">
        <f>IF(ISNUMBER(I267),I267^2,"")</f>
        <v/>
      </c>
    </row>
    <row r="268" ht="15" customHeight="1" s="32">
      <c r="A268" s="41" t="inlineStr">
        <is>
          <t>elbow</t>
        </is>
      </c>
      <c r="B268" s="41" t="n">
        <v>3</v>
      </c>
      <c r="C268" s="41" t="inlineStr">
        <is>
          <t>down</t>
        </is>
      </c>
      <c r="D268" s="41" t="n">
        <v>0</v>
      </c>
      <c r="E268" s="48" t="n"/>
      <c r="F268" s="48" t="n"/>
      <c r="G268" s="50">
        <f>IF(ISNUMBER(E268),E268-IF(ISNUMBER(F268),F268,0),"")</f>
        <v/>
      </c>
      <c r="H268" s="51" t="n"/>
      <c r="I268" s="50">
        <f>IF(AND(ISNUMBER(G268),ISNUMBER(H268)),H268-G268,"")</f>
        <v/>
      </c>
      <c r="J268" s="50">
        <f>IF(ISNUMBER(I268),ABS(I268),"")</f>
        <v/>
      </c>
      <c r="K268" s="52">
        <f>IF(ISNUMBER(I268),I268^2,"")</f>
        <v/>
      </c>
    </row>
    <row r="269" ht="15" customHeight="1" s="32">
      <c r="A269" s="41" t="inlineStr">
        <is>
          <t>elbow</t>
        </is>
      </c>
      <c r="B269" s="41" t="n">
        <v>3</v>
      </c>
      <c r="C269" s="41" t="inlineStr">
        <is>
          <t>down</t>
        </is>
      </c>
      <c r="D269" s="41" t="n">
        <v>-10</v>
      </c>
      <c r="E269" s="48" t="n"/>
      <c r="F269" s="48" t="n"/>
      <c r="G269" s="50">
        <f>IF(ISNUMBER(E269),E269-IF(ISNUMBER(F269),F269,0),"")</f>
        <v/>
      </c>
      <c r="H269" s="51" t="n"/>
      <c r="I269" s="50">
        <f>IF(AND(ISNUMBER(G269),ISNUMBER(H269)),H269-G269,"")</f>
        <v/>
      </c>
      <c r="J269" s="50">
        <f>IF(ISNUMBER(I269),ABS(I269),"")</f>
        <v/>
      </c>
      <c r="K269" s="52">
        <f>IF(ISNUMBER(I269),I269^2,"")</f>
        <v/>
      </c>
    </row>
    <row r="270" ht="15" customHeight="1" s="32">
      <c r="A270" s="41" t="inlineStr">
        <is>
          <t>elbow</t>
        </is>
      </c>
      <c r="B270" s="41" t="n">
        <v>3</v>
      </c>
      <c r="C270" s="41" t="inlineStr">
        <is>
          <t>down</t>
        </is>
      </c>
      <c r="D270" s="41" t="n">
        <v>-20</v>
      </c>
      <c r="E270" s="48" t="n"/>
      <c r="F270" s="48" t="n"/>
      <c r="G270" s="50">
        <f>IF(ISNUMBER(E270),E270-IF(ISNUMBER(F270),F270,0),"")</f>
        <v/>
      </c>
      <c r="H270" s="51" t="n"/>
      <c r="I270" s="50">
        <f>IF(AND(ISNUMBER(G270),ISNUMBER(H270)),H270-G270,"")</f>
        <v/>
      </c>
      <c r="J270" s="50">
        <f>IF(ISNUMBER(I270),ABS(I270),"")</f>
        <v/>
      </c>
      <c r="K270" s="52">
        <f>IF(ISNUMBER(I270),I270^2,"")</f>
        <v/>
      </c>
    </row>
    <row r="271" ht="15" customHeight="1" s="32">
      <c r="A271" s="41" t="inlineStr">
        <is>
          <t>elbow</t>
        </is>
      </c>
      <c r="B271" s="41" t="n">
        <v>3</v>
      </c>
      <c r="C271" s="41" t="inlineStr">
        <is>
          <t>down</t>
        </is>
      </c>
      <c r="D271" s="41" t="n">
        <v>-30</v>
      </c>
      <c r="E271" s="48" t="n"/>
      <c r="F271" s="48" t="n"/>
      <c r="G271" s="50">
        <f>IF(ISNUMBER(E271),E271-IF(ISNUMBER(F271),F271,0),"")</f>
        <v/>
      </c>
      <c r="H271" s="51" t="n"/>
      <c r="I271" s="50">
        <f>IF(AND(ISNUMBER(G271),ISNUMBER(H271)),H271-G271,"")</f>
        <v/>
      </c>
      <c r="J271" s="50">
        <f>IF(ISNUMBER(I271),ABS(I271),"")</f>
        <v/>
      </c>
      <c r="K271" s="52">
        <f>IF(ISNUMBER(I271),I271^2,"")</f>
        <v/>
      </c>
    </row>
    <row r="272" ht="15" customHeight="1" s="32">
      <c r="A272" s="41" t="inlineStr">
        <is>
          <t>elbow</t>
        </is>
      </c>
      <c r="B272" s="41" t="n">
        <v>3</v>
      </c>
      <c r="C272" s="41" t="inlineStr">
        <is>
          <t>down</t>
        </is>
      </c>
      <c r="D272" s="41" t="n">
        <v>-40</v>
      </c>
      <c r="E272" s="48" t="n"/>
      <c r="F272" s="48" t="n"/>
      <c r="G272" s="50">
        <f>IF(ISNUMBER(E272),E272-IF(ISNUMBER(F272),F272,0),"")</f>
        <v/>
      </c>
      <c r="H272" s="51" t="n"/>
      <c r="I272" s="50">
        <f>IF(AND(ISNUMBER(G272),ISNUMBER(H272)),H272-G272,"")</f>
        <v/>
      </c>
      <c r="J272" s="50">
        <f>IF(ISNUMBER(I272),ABS(I272),"")</f>
        <v/>
      </c>
      <c r="K272" s="52">
        <f>IF(ISNUMBER(I272),I272^2,"")</f>
        <v/>
      </c>
    </row>
    <row r="273" ht="15" customHeight="1" s="32">
      <c r="A273" s="41" t="inlineStr">
        <is>
          <t>elbow</t>
        </is>
      </c>
      <c r="B273" s="41" t="n">
        <v>3</v>
      </c>
      <c r="C273" s="41" t="inlineStr">
        <is>
          <t>down</t>
        </is>
      </c>
      <c r="D273" s="41" t="n">
        <v>-50</v>
      </c>
      <c r="E273" s="48" t="n"/>
      <c r="F273" s="48" t="n"/>
      <c r="G273" s="50">
        <f>IF(ISNUMBER(E273),E273-IF(ISNUMBER(F273),F273,0),"")</f>
        <v/>
      </c>
      <c r="H273" s="51" t="n"/>
      <c r="I273" s="50">
        <f>IF(AND(ISNUMBER(G273),ISNUMBER(H273)),H273-G273,"")</f>
        <v/>
      </c>
      <c r="J273" s="50">
        <f>IF(ISNUMBER(I273),ABS(I273),"")</f>
        <v/>
      </c>
      <c r="K273" s="52">
        <f>IF(ISNUMBER(I273),I273^2,"")</f>
        <v/>
      </c>
    </row>
    <row r="274" ht="15" customHeight="1" s="32">
      <c r="A274" s="41" t="inlineStr">
        <is>
          <t>elbow</t>
        </is>
      </c>
      <c r="B274" s="41" t="n">
        <v>3</v>
      </c>
      <c r="C274" s="41" t="inlineStr">
        <is>
          <t>down</t>
        </is>
      </c>
      <c r="D274" s="41" t="n">
        <v>-60</v>
      </c>
      <c r="E274" s="48" t="n"/>
      <c r="F274" s="48" t="n"/>
      <c r="G274" s="50">
        <f>IF(ISNUMBER(E274),E274-IF(ISNUMBER(F274),F274,0),"")</f>
        <v/>
      </c>
      <c r="H274" s="51" t="n"/>
      <c r="I274" s="50">
        <f>IF(AND(ISNUMBER(G274),ISNUMBER(H274)),H274-G274,"")</f>
        <v/>
      </c>
      <c r="J274" s="50">
        <f>IF(ISNUMBER(I274),ABS(I274),"")</f>
        <v/>
      </c>
      <c r="K274" s="52">
        <f>IF(ISNUMBER(I274),I274^2,"")</f>
        <v/>
      </c>
    </row>
    <row r="275" ht="15" customHeight="1" s="32">
      <c r="A275" s="41" t="inlineStr">
        <is>
          <t>elbow</t>
        </is>
      </c>
      <c r="B275" s="41" t="n">
        <v>3</v>
      </c>
      <c r="C275" s="41" t="inlineStr">
        <is>
          <t>down</t>
        </is>
      </c>
      <c r="D275" s="41" t="n">
        <v>-70</v>
      </c>
      <c r="E275" s="48" t="n"/>
      <c r="F275" s="48" t="n"/>
      <c r="G275" s="50">
        <f>IF(ISNUMBER(E275),E275-IF(ISNUMBER(F275),F275,0),"")</f>
        <v/>
      </c>
      <c r="H275" s="51" t="n"/>
      <c r="I275" s="50">
        <f>IF(AND(ISNUMBER(G275),ISNUMBER(H275)),H275-G275,"")</f>
        <v/>
      </c>
      <c r="J275" s="50">
        <f>IF(ISNUMBER(I275),ABS(I275),"")</f>
        <v/>
      </c>
      <c r="K275" s="52">
        <f>IF(ISNUMBER(I275),I275^2,"")</f>
        <v/>
      </c>
    </row>
    <row r="276" ht="15" customHeight="1" s="32">
      <c r="A276" s="41" t="inlineStr">
        <is>
          <t>elbow</t>
        </is>
      </c>
      <c r="B276" s="41" t="n">
        <v>3</v>
      </c>
      <c r="C276" s="41" t="inlineStr">
        <is>
          <t>down</t>
        </is>
      </c>
      <c r="D276" s="41" t="n">
        <v>-80</v>
      </c>
      <c r="E276" s="48" t="n"/>
      <c r="F276" s="48" t="n"/>
      <c r="G276" s="50">
        <f>IF(ISNUMBER(E276),E276-IF(ISNUMBER(F276),F276,0),"")</f>
        <v/>
      </c>
      <c r="H276" s="51" t="n"/>
      <c r="I276" s="50">
        <f>IF(AND(ISNUMBER(G276),ISNUMBER(H276)),H276-G276,"")</f>
        <v/>
      </c>
      <c r="J276" s="50">
        <f>IF(ISNUMBER(I276),ABS(I276),"")</f>
        <v/>
      </c>
      <c r="K276" s="52">
        <f>IF(ISNUMBER(I276),I276^2,"")</f>
        <v/>
      </c>
    </row>
    <row r="277" ht="15" customHeight="1" s="32">
      <c r="A277" s="41" t="inlineStr">
        <is>
          <t>elbow</t>
        </is>
      </c>
      <c r="B277" s="41" t="n">
        <v>3</v>
      </c>
      <c r="C277" s="41" t="inlineStr">
        <is>
          <t>down</t>
        </is>
      </c>
      <c r="D277" s="41" t="n">
        <v>-90</v>
      </c>
      <c r="E277" s="48" t="n"/>
      <c r="F277" s="48" t="n"/>
      <c r="G277" s="50">
        <f>IF(ISNUMBER(E277),E277-IF(ISNUMBER(F277),F277,0),"")</f>
        <v/>
      </c>
      <c r="H277" s="51" t="n"/>
      <c r="I277" s="50">
        <f>IF(AND(ISNUMBER(G277),ISNUMBER(H277)),H277-G277,"")</f>
        <v/>
      </c>
      <c r="J277" s="50">
        <f>IF(ISNUMBER(I277),ABS(I277),"")</f>
        <v/>
      </c>
      <c r="K277" s="52">
        <f>IF(ISNUMBER(I277),I277^2,"")</f>
        <v/>
      </c>
    </row>
    <row r="278" ht="15" customHeight="1" s="32">
      <c r="A278" s="41" t="inlineStr">
        <is>
          <t>wrist</t>
        </is>
      </c>
      <c r="B278" s="41" t="n">
        <v>1</v>
      </c>
      <c r="C278" s="41" t="inlineStr">
        <is>
          <t>up</t>
        </is>
      </c>
      <c r="D278" s="41" t="n">
        <v>-80</v>
      </c>
      <c r="E278" s="48" t="n">
        <v>-50.2</v>
      </c>
      <c r="F278" s="48" t="n">
        <v>30</v>
      </c>
      <c r="G278" s="50">
        <f>IF(ISNUMBER(E278),E278-IF(ISNUMBER(F278),F278,0),"")</f>
        <v/>
      </c>
      <c r="H278" s="51" t="n">
        <v>-80.23999999999999</v>
      </c>
      <c r="I278" s="50">
        <f>IF(AND(ISNUMBER(G278),ISNUMBER(H278)),H278-G278,"")</f>
        <v/>
      </c>
      <c r="J278" s="50">
        <f>IF(ISNUMBER(I278),ABS(I278),"")</f>
        <v/>
      </c>
      <c r="K278" s="52">
        <f>IF(ISNUMBER(I278),I278^2,"")</f>
        <v/>
      </c>
    </row>
    <row r="279" ht="15" customHeight="1" s="32">
      <c r="A279" s="41" t="inlineStr">
        <is>
          <t>wrist</t>
        </is>
      </c>
      <c r="B279" s="41" t="n">
        <v>1</v>
      </c>
      <c r="C279" s="41" t="inlineStr">
        <is>
          <t>up</t>
        </is>
      </c>
      <c r="D279" s="41" t="n">
        <v>-70</v>
      </c>
      <c r="E279" s="48" t="n">
        <v>-40.1</v>
      </c>
      <c r="F279" s="48" t="n">
        <v>30</v>
      </c>
      <c r="G279" s="50">
        <f>IF(ISNUMBER(E279),E279-IF(ISNUMBER(F279),F279,0),"")</f>
        <v/>
      </c>
      <c r="H279" s="51" t="n">
        <v>-70.22</v>
      </c>
      <c r="I279" s="50">
        <f>IF(AND(ISNUMBER(G279),ISNUMBER(H279)),H279-G279,"")</f>
        <v/>
      </c>
      <c r="J279" s="50">
        <f>IF(ISNUMBER(I279),ABS(I279),"")</f>
        <v/>
      </c>
      <c r="K279" s="52">
        <f>IF(ISNUMBER(I279),I279^2,"")</f>
        <v/>
      </c>
    </row>
    <row r="280" ht="15" customHeight="1" s="32">
      <c r="A280" s="41" t="inlineStr">
        <is>
          <t>wrist</t>
        </is>
      </c>
      <c r="B280" s="41" t="n">
        <v>1</v>
      </c>
      <c r="C280" s="41" t="inlineStr">
        <is>
          <t>up</t>
        </is>
      </c>
      <c r="D280" s="41" t="n">
        <v>-60</v>
      </c>
      <c r="E280" s="48" t="n">
        <v>-29.9</v>
      </c>
      <c r="F280" s="48" t="n">
        <v>30</v>
      </c>
      <c r="G280" s="50">
        <f>IF(ISNUMBER(E280),E280-IF(ISNUMBER(F280),F280,0),"")</f>
        <v/>
      </c>
      <c r="H280" s="51" t="n">
        <v>-59.77</v>
      </c>
      <c r="I280" s="50">
        <f>IF(AND(ISNUMBER(G280),ISNUMBER(H280)),H280-G280,"")</f>
        <v/>
      </c>
      <c r="J280" s="50">
        <f>IF(ISNUMBER(I280),ABS(I280),"")</f>
        <v/>
      </c>
      <c r="K280" s="52">
        <f>IF(ISNUMBER(I280),I280^2,"")</f>
        <v/>
      </c>
    </row>
    <row r="281" ht="15" customHeight="1" s="32">
      <c r="A281" s="41" t="inlineStr">
        <is>
          <t>wrist</t>
        </is>
      </c>
      <c r="B281" s="41" t="n">
        <v>1</v>
      </c>
      <c r="C281" s="41" t="inlineStr">
        <is>
          <t>up</t>
        </is>
      </c>
      <c r="D281" s="41" t="n">
        <v>-50</v>
      </c>
      <c r="E281" s="48" t="n">
        <v>-20.1</v>
      </c>
      <c r="F281" s="48" t="n">
        <v>30</v>
      </c>
      <c r="G281" s="50">
        <f>IF(ISNUMBER(E281),E281-IF(ISNUMBER(F281),F281,0),"")</f>
        <v/>
      </c>
      <c r="H281" s="51" t="n">
        <v>-49.83</v>
      </c>
      <c r="I281" s="50">
        <f>IF(AND(ISNUMBER(G281),ISNUMBER(H281)),H281-G281,"")</f>
        <v/>
      </c>
      <c r="J281" s="50">
        <f>IF(ISNUMBER(I281),ABS(I281),"")</f>
        <v/>
      </c>
      <c r="K281" s="52">
        <f>IF(ISNUMBER(I281),I281^2,"")</f>
        <v/>
      </c>
    </row>
    <row r="282" ht="15" customHeight="1" s="32">
      <c r="A282" s="41" t="inlineStr">
        <is>
          <t>wrist</t>
        </is>
      </c>
      <c r="B282" s="41" t="n">
        <v>1</v>
      </c>
      <c r="C282" s="41" t="inlineStr">
        <is>
          <t>up</t>
        </is>
      </c>
      <c r="D282" s="41" t="n">
        <v>-40</v>
      </c>
      <c r="E282" s="48" t="n">
        <v>-9.9</v>
      </c>
      <c r="F282" s="48" t="n">
        <v>30</v>
      </c>
      <c r="G282" s="50">
        <f>IF(ISNUMBER(E282),E282-IF(ISNUMBER(F282),F282,0),"")</f>
        <v/>
      </c>
      <c r="H282" s="51" t="n">
        <v>-39.82</v>
      </c>
      <c r="I282" s="50">
        <f>IF(AND(ISNUMBER(G282),ISNUMBER(H282)),H282-G282,"")</f>
        <v/>
      </c>
      <c r="J282" s="50">
        <f>IF(ISNUMBER(I282),ABS(I282),"")</f>
        <v/>
      </c>
      <c r="K282" s="52">
        <f>IF(ISNUMBER(I282),I282^2,"")</f>
        <v/>
      </c>
      <c r="L282" s="31" t="inlineStr">
        <is>
          <t>taken after -30 (approached from above)</t>
        </is>
      </c>
    </row>
    <row r="283" ht="15" customHeight="1" s="32">
      <c r="A283" s="41" t="inlineStr">
        <is>
          <t>wrist</t>
        </is>
      </c>
      <c r="B283" s="41" t="n">
        <v>1</v>
      </c>
      <c r="C283" s="41" t="inlineStr">
        <is>
          <t>up</t>
        </is>
      </c>
      <c r="D283" s="41" t="n">
        <v>-30</v>
      </c>
      <c r="E283" s="48" t="n">
        <v>-0.1</v>
      </c>
      <c r="F283" s="48" t="n">
        <v>30</v>
      </c>
      <c r="G283" s="50">
        <f>IF(ISNUMBER(E283),E283-IF(ISNUMBER(F283),F283,0),"")</f>
        <v/>
      </c>
      <c r="H283" s="51" t="n">
        <v>-30.06</v>
      </c>
      <c r="I283" s="50">
        <f>IF(AND(ISNUMBER(G283),ISNUMBER(H283)),H283-G283,"")</f>
        <v/>
      </c>
      <c r="J283" s="50">
        <f>IF(ISNUMBER(I283),ABS(I283),"")</f>
        <v/>
      </c>
      <c r="K283" s="52">
        <f>IF(ISNUMBER(I283),I283^2,"")</f>
        <v/>
      </c>
    </row>
    <row r="284" ht="15" customHeight="1" s="32">
      <c r="A284" s="41" t="inlineStr">
        <is>
          <t>wrist</t>
        </is>
      </c>
      <c r="B284" s="41" t="n">
        <v>1</v>
      </c>
      <c r="C284" s="41" t="inlineStr">
        <is>
          <t>up</t>
        </is>
      </c>
      <c r="D284" s="41" t="n">
        <v>-20</v>
      </c>
      <c r="E284" s="48" t="n">
        <v>10.2</v>
      </c>
      <c r="F284" s="48" t="n">
        <v>30</v>
      </c>
      <c r="G284" s="50">
        <f>IF(ISNUMBER(E284),E284-IF(ISNUMBER(F284),F284,0),"")</f>
        <v/>
      </c>
      <c r="H284" s="51" t="n">
        <v>-19.85</v>
      </c>
      <c r="I284" s="50">
        <f>IF(AND(ISNUMBER(G284),ISNUMBER(H284)),H284-G284,"")</f>
        <v/>
      </c>
      <c r="J284" s="50">
        <f>IF(ISNUMBER(I284),ABS(I284),"")</f>
        <v/>
      </c>
      <c r="K284" s="52">
        <f>IF(ISNUMBER(I284),I284^2,"")</f>
        <v/>
      </c>
    </row>
    <row r="285" ht="15" customHeight="1" s="32">
      <c r="A285" s="41" t="inlineStr">
        <is>
          <t>wrist</t>
        </is>
      </c>
      <c r="B285" s="41" t="n">
        <v>1</v>
      </c>
      <c r="C285" s="41" t="inlineStr">
        <is>
          <t>up</t>
        </is>
      </c>
      <c r="D285" s="41" t="n">
        <v>-10</v>
      </c>
      <c r="E285" s="48" t="n">
        <v>19.8</v>
      </c>
      <c r="F285" s="48" t="n">
        <v>30</v>
      </c>
      <c r="G285" s="50">
        <f>IF(ISNUMBER(E285),E285-IF(ISNUMBER(F285),F285,0),"")</f>
        <v/>
      </c>
      <c r="H285" s="51" t="n">
        <v>-10.19</v>
      </c>
      <c r="I285" s="50">
        <f>IF(AND(ISNUMBER(G285),ISNUMBER(H285)),H285-G285,"")</f>
        <v/>
      </c>
      <c r="J285" s="50">
        <f>IF(ISNUMBER(I285),ABS(I285),"")</f>
        <v/>
      </c>
      <c r="K285" s="52">
        <f>IF(ISNUMBER(I285),I285^2,"")</f>
        <v/>
      </c>
    </row>
    <row r="286" ht="15" customHeight="1" s="32">
      <c r="A286" s="41" t="inlineStr">
        <is>
          <t>wrist</t>
        </is>
      </c>
      <c r="B286" s="41" t="n">
        <v>1</v>
      </c>
      <c r="C286" s="41" t="inlineStr">
        <is>
          <t>up</t>
        </is>
      </c>
      <c r="D286" s="41" t="n">
        <v>0</v>
      </c>
      <c r="E286" s="48" t="n">
        <v>30.2</v>
      </c>
      <c r="F286" s="48" t="n">
        <v>30</v>
      </c>
      <c r="G286" s="50">
        <f>IF(ISNUMBER(E286),E286-IF(ISNUMBER(F286),F286,0),"")</f>
        <v/>
      </c>
      <c r="H286" s="51" t="n">
        <v>0.09</v>
      </c>
      <c r="I286" s="50">
        <f>IF(AND(ISNUMBER(G286),ISNUMBER(H286)),H286-G286,"")</f>
        <v/>
      </c>
      <c r="J286" s="50">
        <f>IF(ISNUMBER(I286),ABS(I286),"")</f>
        <v/>
      </c>
      <c r="K286" s="52">
        <f>IF(ISNUMBER(I286),I286^2,"")</f>
        <v/>
      </c>
    </row>
    <row r="287" ht="15" customHeight="1" s="32">
      <c r="A287" s="41" t="inlineStr">
        <is>
          <t>wrist</t>
        </is>
      </c>
      <c r="B287" s="41" t="n">
        <v>1</v>
      </c>
      <c r="C287" s="41" t="inlineStr">
        <is>
          <t>up</t>
        </is>
      </c>
      <c r="D287" s="41" t="n">
        <v>10</v>
      </c>
      <c r="E287" s="48" t="n">
        <v>40.3</v>
      </c>
      <c r="F287" s="48" t="n">
        <v>30</v>
      </c>
      <c r="G287" s="50">
        <f>IF(ISNUMBER(E287),E287-IF(ISNUMBER(F287),F287,0),"")</f>
        <v/>
      </c>
      <c r="H287" s="51" t="n">
        <v>9.93</v>
      </c>
      <c r="I287" s="50">
        <f>IF(AND(ISNUMBER(G287),ISNUMBER(H287)),H287-G287,"")</f>
        <v/>
      </c>
      <c r="J287" s="50">
        <f>IF(ISNUMBER(I287),ABS(I287),"")</f>
        <v/>
      </c>
      <c r="K287" s="52">
        <f>IF(ISNUMBER(I287),I287^2,"")</f>
        <v/>
      </c>
    </row>
    <row r="288" ht="15" customHeight="1" s="32">
      <c r="A288" s="41" t="inlineStr">
        <is>
          <t>wrist</t>
        </is>
      </c>
      <c r="B288" s="41" t="n">
        <v>1</v>
      </c>
      <c r="C288" s="41" t="inlineStr">
        <is>
          <t>up</t>
        </is>
      </c>
      <c r="D288" s="41" t="n">
        <v>20</v>
      </c>
      <c r="E288" s="48" t="n">
        <v>49.7</v>
      </c>
      <c r="F288" s="48" t="n">
        <v>30</v>
      </c>
      <c r="G288" s="50">
        <f>IF(ISNUMBER(E288),E288-IF(ISNUMBER(F288),F288,0),"")</f>
        <v/>
      </c>
      <c r="H288" s="51" t="n">
        <v>19.78</v>
      </c>
      <c r="I288" s="50">
        <f>IF(AND(ISNUMBER(G288),ISNUMBER(H288)),H288-G288,"")</f>
        <v/>
      </c>
      <c r="J288" s="50">
        <f>IF(ISNUMBER(I288),ABS(I288),"")</f>
        <v/>
      </c>
      <c r="K288" s="52">
        <f>IF(ISNUMBER(I288),I288^2,"")</f>
        <v/>
      </c>
    </row>
    <row r="289" ht="15" customHeight="1" s="32">
      <c r="A289" s="41" t="inlineStr">
        <is>
          <t>wrist</t>
        </is>
      </c>
      <c r="B289" s="41" t="n">
        <v>1</v>
      </c>
      <c r="C289" s="41" t="inlineStr">
        <is>
          <t>up</t>
        </is>
      </c>
      <c r="D289" s="41" t="n">
        <v>30</v>
      </c>
      <c r="E289" s="48" t="n">
        <v>60.1</v>
      </c>
      <c r="F289" s="48" t="n">
        <v>30</v>
      </c>
      <c r="G289" s="50">
        <f>IF(ISNUMBER(E289),E289-IF(ISNUMBER(F289),F289,0),"")</f>
        <v/>
      </c>
      <c r="H289" s="51" t="n">
        <v>30.06</v>
      </c>
      <c r="I289" s="50">
        <f>IF(AND(ISNUMBER(G289),ISNUMBER(H289)),H289-G289,"")</f>
        <v/>
      </c>
      <c r="J289" s="50">
        <f>IF(ISNUMBER(I289),ABS(I289),"")</f>
        <v/>
      </c>
      <c r="K289" s="52">
        <f>IF(ISNUMBER(I289),I289^2,"")</f>
        <v/>
      </c>
    </row>
    <row r="290" ht="15" customHeight="1" s="32">
      <c r="A290" s="41" t="inlineStr">
        <is>
          <t>wrist</t>
        </is>
      </c>
      <c r="B290" s="41" t="n">
        <v>1</v>
      </c>
      <c r="C290" s="41" t="inlineStr">
        <is>
          <t>up</t>
        </is>
      </c>
      <c r="D290" s="41" t="n">
        <v>40</v>
      </c>
      <c r="E290" s="48" t="n">
        <v>69.8</v>
      </c>
      <c r="F290" s="48" t="n">
        <v>30</v>
      </c>
      <c r="G290" s="50">
        <f>IF(ISNUMBER(E290),E290-IF(ISNUMBER(F290),F290,0),"")</f>
        <v/>
      </c>
      <c r="H290" s="51" t="n">
        <v>39.9</v>
      </c>
      <c r="I290" s="50">
        <f>IF(AND(ISNUMBER(G290),ISNUMBER(H290)),H290-G290,"")</f>
        <v/>
      </c>
      <c r="J290" s="50">
        <f>IF(ISNUMBER(I290),ABS(I290),"")</f>
        <v/>
      </c>
      <c r="K290" s="52">
        <f>IF(ISNUMBER(I290),I290^2,"")</f>
        <v/>
      </c>
    </row>
    <row r="291" ht="15" customHeight="1" s="32">
      <c r="A291" s="41" t="inlineStr">
        <is>
          <t>wrist</t>
        </is>
      </c>
      <c r="B291" s="41" t="n">
        <v>1</v>
      </c>
      <c r="C291" s="41" t="inlineStr">
        <is>
          <t>up</t>
        </is>
      </c>
      <c r="D291" s="41" t="n">
        <v>50</v>
      </c>
      <c r="E291" s="48" t="n">
        <v>79.90000000000001</v>
      </c>
      <c r="F291" s="48" t="n">
        <v>30</v>
      </c>
      <c r="G291" s="50">
        <f>IF(ISNUMBER(E291),E291-IF(ISNUMBER(F291),F291,0),"")</f>
        <v/>
      </c>
      <c r="H291" s="51" t="n">
        <v>50.27</v>
      </c>
      <c r="I291" s="50">
        <f>IF(AND(ISNUMBER(G291),ISNUMBER(H291)),H291-G291,"")</f>
        <v/>
      </c>
      <c r="J291" s="50">
        <f>IF(ISNUMBER(I291),ABS(I291),"")</f>
        <v/>
      </c>
      <c r="K291" s="52">
        <f>IF(ISNUMBER(I291),I291^2,"")</f>
        <v/>
      </c>
    </row>
    <row r="292" ht="15" customHeight="1" s="32">
      <c r="A292" s="41" t="inlineStr">
        <is>
          <t>wrist</t>
        </is>
      </c>
      <c r="B292" s="41" t="n">
        <v>1</v>
      </c>
      <c r="C292" s="41" t="inlineStr">
        <is>
          <t>up</t>
        </is>
      </c>
      <c r="D292" s="41" t="n">
        <v>60</v>
      </c>
      <c r="E292" s="48" t="n">
        <v>89.8</v>
      </c>
      <c r="F292" s="48" t="n">
        <v>30</v>
      </c>
      <c r="G292" s="50">
        <f>IF(ISNUMBER(E292),E292-IF(ISNUMBER(F292),F292,0),"")</f>
        <v/>
      </c>
      <c r="H292" s="51" t="n">
        <v>60.12</v>
      </c>
      <c r="I292" s="50">
        <f>IF(AND(ISNUMBER(G292),ISNUMBER(H292)),H292-G292,"")</f>
        <v/>
      </c>
      <c r="J292" s="50">
        <f>IF(ISNUMBER(I292),ABS(I292),"")</f>
        <v/>
      </c>
      <c r="K292" s="52">
        <f>IF(ISNUMBER(I292),I292^2,"")</f>
        <v/>
      </c>
    </row>
    <row r="293" ht="15" customHeight="1" s="32">
      <c r="A293" s="41" t="inlineStr">
        <is>
          <t>wrist</t>
        </is>
      </c>
      <c r="B293" s="41" t="n">
        <v>1</v>
      </c>
      <c r="C293" s="41" t="inlineStr">
        <is>
          <t>up</t>
        </is>
      </c>
      <c r="D293" s="41" t="n">
        <v>70</v>
      </c>
      <c r="E293" s="48" t="n">
        <v>100.2</v>
      </c>
      <c r="F293" s="48" t="n">
        <v>30</v>
      </c>
      <c r="G293" s="50">
        <f>IF(ISNUMBER(E293),E293-IF(ISNUMBER(F293),F293,0),"")</f>
        <v/>
      </c>
      <c r="H293" s="51" t="n">
        <v>70.22</v>
      </c>
      <c r="I293" s="50">
        <f>IF(AND(ISNUMBER(G293),ISNUMBER(H293)),H293-G293,"")</f>
        <v/>
      </c>
      <c r="J293" s="50">
        <f>IF(ISNUMBER(I293),ABS(I293),"")</f>
        <v/>
      </c>
      <c r="K293" s="52">
        <f>IF(ISNUMBER(I293),I293^2,"")</f>
        <v/>
      </c>
    </row>
    <row r="294" ht="15" customHeight="1" s="32">
      <c r="A294" s="41" t="inlineStr">
        <is>
          <t>wrist</t>
        </is>
      </c>
      <c r="B294" s="41" t="n">
        <v>1</v>
      </c>
      <c r="C294" s="41" t="inlineStr">
        <is>
          <t>up</t>
        </is>
      </c>
      <c r="D294" s="41" t="n">
        <v>80</v>
      </c>
      <c r="E294" s="48" t="n">
        <v>109.9</v>
      </c>
      <c r="F294" s="48" t="n">
        <v>30</v>
      </c>
      <c r="G294" s="50">
        <f>IF(ISNUMBER(E294),E294-IF(ISNUMBER(F294),F294,0),"")</f>
        <v/>
      </c>
      <c r="H294" s="51" t="n">
        <v>79.98</v>
      </c>
      <c r="I294" s="50">
        <f>IF(AND(ISNUMBER(G294),ISNUMBER(H294)),H294-G294,"")</f>
        <v/>
      </c>
      <c r="J294" s="50">
        <f>IF(ISNUMBER(I294),ABS(I294),"")</f>
        <v/>
      </c>
      <c r="K294" s="52">
        <f>IF(ISNUMBER(I294),I294^2,"")</f>
        <v/>
      </c>
    </row>
    <row r="295" ht="15" customHeight="1" s="32">
      <c r="A295" s="41" t="inlineStr">
        <is>
          <t>wrist</t>
        </is>
      </c>
      <c r="B295" s="41" t="n">
        <v>1</v>
      </c>
      <c r="C295" s="41" t="inlineStr">
        <is>
          <t>up</t>
        </is>
      </c>
      <c r="D295" s="41" t="n">
        <v>90</v>
      </c>
      <c r="E295" s="48" t="n">
        <v>120.2</v>
      </c>
      <c r="F295" s="48" t="n">
        <v>30</v>
      </c>
      <c r="G295" s="50">
        <f>IF(ISNUMBER(E295),E295-IF(ISNUMBER(F295),F295,0),"")</f>
        <v/>
      </c>
      <c r="H295" s="51" t="n">
        <v>90.23999999999999</v>
      </c>
      <c r="I295" s="50">
        <f>IF(AND(ISNUMBER(G295),ISNUMBER(H295)),H295-G295,"")</f>
        <v/>
      </c>
      <c r="J295" s="50">
        <f>IF(ISNUMBER(I295),ABS(I295),"")</f>
        <v/>
      </c>
      <c r="K295" s="52">
        <f>IF(ISNUMBER(I295),I295^2,"")</f>
        <v/>
      </c>
    </row>
    <row r="296" ht="15" customHeight="1" s="32">
      <c r="A296" s="41" t="inlineStr">
        <is>
          <t>wrist</t>
        </is>
      </c>
      <c r="B296" s="41" t="n">
        <v>1</v>
      </c>
      <c r="C296" s="41" t="inlineStr">
        <is>
          <t>down</t>
        </is>
      </c>
      <c r="D296" s="41" t="n">
        <v>90</v>
      </c>
      <c r="E296" s="48" t="n"/>
      <c r="F296" s="48" t="n"/>
      <c r="G296" s="50">
        <f>IF(ISNUMBER(E296),E296-IF(ISNUMBER(F296),F296,0),"")</f>
        <v/>
      </c>
      <c r="H296" s="51" t="n"/>
      <c r="I296" s="50">
        <f>IF(AND(ISNUMBER(G296),ISNUMBER(H296)),H296-G296,"")</f>
        <v/>
      </c>
      <c r="J296" s="50">
        <f>IF(ISNUMBER(I296),ABS(I296),"")</f>
        <v/>
      </c>
      <c r="K296" s="52">
        <f>IF(ISNUMBER(I296),I296^2,"")</f>
        <v/>
      </c>
    </row>
    <row r="297" ht="15" customHeight="1" s="32">
      <c r="A297" s="41" t="inlineStr">
        <is>
          <t>wrist</t>
        </is>
      </c>
      <c r="B297" s="41" t="n">
        <v>1</v>
      </c>
      <c r="C297" s="41" t="inlineStr">
        <is>
          <t>down</t>
        </is>
      </c>
      <c r="D297" s="41" t="n">
        <v>80</v>
      </c>
      <c r="E297" s="48" t="n"/>
      <c r="F297" s="48" t="n"/>
      <c r="G297" s="50">
        <f>IF(ISNUMBER(E297),E297-IF(ISNUMBER(F297),F297,0),"")</f>
        <v/>
      </c>
      <c r="H297" s="51" t="n"/>
      <c r="I297" s="50">
        <f>IF(AND(ISNUMBER(G297),ISNUMBER(H297)),H297-G297,"")</f>
        <v/>
      </c>
      <c r="J297" s="50">
        <f>IF(ISNUMBER(I297),ABS(I297),"")</f>
        <v/>
      </c>
      <c r="K297" s="52">
        <f>IF(ISNUMBER(I297),I297^2,"")</f>
        <v/>
      </c>
    </row>
    <row r="298" ht="15" customHeight="1" s="32">
      <c r="A298" s="41" t="inlineStr">
        <is>
          <t>wrist</t>
        </is>
      </c>
      <c r="B298" s="41" t="n">
        <v>1</v>
      </c>
      <c r="C298" s="41" t="inlineStr">
        <is>
          <t>down</t>
        </is>
      </c>
      <c r="D298" s="41" t="n">
        <v>70</v>
      </c>
      <c r="E298" s="48" t="n"/>
      <c r="F298" s="48" t="n"/>
      <c r="G298" s="50">
        <f>IF(ISNUMBER(E298),E298-IF(ISNUMBER(F298),F298,0),"")</f>
        <v/>
      </c>
      <c r="H298" s="51" t="n"/>
      <c r="I298" s="50">
        <f>IF(AND(ISNUMBER(G298),ISNUMBER(H298)),H298-G298,"")</f>
        <v/>
      </c>
      <c r="J298" s="50">
        <f>IF(ISNUMBER(I298),ABS(I298),"")</f>
        <v/>
      </c>
      <c r="K298" s="52">
        <f>IF(ISNUMBER(I298),I298^2,"")</f>
        <v/>
      </c>
    </row>
    <row r="299" ht="15" customHeight="1" s="32">
      <c r="A299" s="41" t="inlineStr">
        <is>
          <t>wrist</t>
        </is>
      </c>
      <c r="B299" s="41" t="n">
        <v>1</v>
      </c>
      <c r="C299" s="41" t="inlineStr">
        <is>
          <t>down</t>
        </is>
      </c>
      <c r="D299" s="41" t="n">
        <v>60</v>
      </c>
      <c r="E299" s="48" t="n"/>
      <c r="F299" s="48" t="n"/>
      <c r="G299" s="50">
        <f>IF(ISNUMBER(E299),E299-IF(ISNUMBER(F299),F299,0),"")</f>
        <v/>
      </c>
      <c r="H299" s="51" t="n"/>
      <c r="I299" s="50">
        <f>IF(AND(ISNUMBER(G299),ISNUMBER(H299)),H299-G299,"")</f>
        <v/>
      </c>
      <c r="J299" s="50">
        <f>IF(ISNUMBER(I299),ABS(I299),"")</f>
        <v/>
      </c>
      <c r="K299" s="52">
        <f>IF(ISNUMBER(I299),I299^2,"")</f>
        <v/>
      </c>
    </row>
    <row r="300" ht="15" customHeight="1" s="32">
      <c r="A300" s="41" t="inlineStr">
        <is>
          <t>wrist</t>
        </is>
      </c>
      <c r="B300" s="41" t="n">
        <v>1</v>
      </c>
      <c r="C300" s="41" t="inlineStr">
        <is>
          <t>down</t>
        </is>
      </c>
      <c r="D300" s="41" t="n">
        <v>50</v>
      </c>
      <c r="E300" s="48" t="n"/>
      <c r="F300" s="48" t="n"/>
      <c r="G300" s="50">
        <f>IF(ISNUMBER(E300),E300-IF(ISNUMBER(F300),F300,0),"")</f>
        <v/>
      </c>
      <c r="H300" s="51" t="n"/>
      <c r="I300" s="50">
        <f>IF(AND(ISNUMBER(G300),ISNUMBER(H300)),H300-G300,"")</f>
        <v/>
      </c>
      <c r="J300" s="50">
        <f>IF(ISNUMBER(I300),ABS(I300),"")</f>
        <v/>
      </c>
      <c r="K300" s="52">
        <f>IF(ISNUMBER(I300),I300^2,"")</f>
        <v/>
      </c>
    </row>
    <row r="301" ht="15" customHeight="1" s="32">
      <c r="A301" s="41" t="inlineStr">
        <is>
          <t>wrist</t>
        </is>
      </c>
      <c r="B301" s="41" t="n">
        <v>1</v>
      </c>
      <c r="C301" s="41" t="inlineStr">
        <is>
          <t>down</t>
        </is>
      </c>
      <c r="D301" s="41" t="n">
        <v>40</v>
      </c>
      <c r="E301" s="48" t="n"/>
      <c r="F301" s="48" t="n"/>
      <c r="G301" s="50">
        <f>IF(ISNUMBER(E301),E301-IF(ISNUMBER(F301),F301,0),"")</f>
        <v/>
      </c>
      <c r="H301" s="51" t="n"/>
      <c r="I301" s="50">
        <f>IF(AND(ISNUMBER(G301),ISNUMBER(H301)),H301-G301,"")</f>
        <v/>
      </c>
      <c r="J301" s="50">
        <f>IF(ISNUMBER(I301),ABS(I301),"")</f>
        <v/>
      </c>
      <c r="K301" s="52">
        <f>IF(ISNUMBER(I301),I301^2,"")</f>
        <v/>
      </c>
    </row>
    <row r="302" ht="15" customHeight="1" s="32">
      <c r="A302" s="41" t="inlineStr">
        <is>
          <t>wrist</t>
        </is>
      </c>
      <c r="B302" s="41" t="n">
        <v>1</v>
      </c>
      <c r="C302" s="41" t="inlineStr">
        <is>
          <t>down</t>
        </is>
      </c>
      <c r="D302" s="41" t="n">
        <v>30</v>
      </c>
      <c r="E302" s="48" t="n"/>
      <c r="F302" s="48" t="n"/>
      <c r="G302" s="50">
        <f>IF(ISNUMBER(E302),E302-IF(ISNUMBER(F302),F302,0),"")</f>
        <v/>
      </c>
      <c r="H302" s="51" t="n"/>
      <c r="I302" s="50">
        <f>IF(AND(ISNUMBER(G302),ISNUMBER(H302)),H302-G302,"")</f>
        <v/>
      </c>
      <c r="J302" s="50">
        <f>IF(ISNUMBER(I302),ABS(I302),"")</f>
        <v/>
      </c>
      <c r="K302" s="52">
        <f>IF(ISNUMBER(I302),I302^2,"")</f>
        <v/>
      </c>
    </row>
    <row r="303" ht="15" customHeight="1" s="32">
      <c r="A303" s="41" t="inlineStr">
        <is>
          <t>wrist</t>
        </is>
      </c>
      <c r="B303" s="41" t="n">
        <v>1</v>
      </c>
      <c r="C303" s="41" t="inlineStr">
        <is>
          <t>down</t>
        </is>
      </c>
      <c r="D303" s="41" t="n">
        <v>20</v>
      </c>
      <c r="E303" s="48" t="n"/>
      <c r="F303" s="48" t="n"/>
      <c r="G303" s="50">
        <f>IF(ISNUMBER(E303),E303-IF(ISNUMBER(F303),F303,0),"")</f>
        <v/>
      </c>
      <c r="H303" s="51" t="n"/>
      <c r="I303" s="50">
        <f>IF(AND(ISNUMBER(G303),ISNUMBER(H303)),H303-G303,"")</f>
        <v/>
      </c>
      <c r="J303" s="50">
        <f>IF(ISNUMBER(I303),ABS(I303),"")</f>
        <v/>
      </c>
      <c r="K303" s="52">
        <f>IF(ISNUMBER(I303),I303^2,"")</f>
        <v/>
      </c>
    </row>
    <row r="304" ht="15" customHeight="1" s="32">
      <c r="A304" s="41" t="inlineStr">
        <is>
          <t>wrist</t>
        </is>
      </c>
      <c r="B304" s="41" t="n">
        <v>1</v>
      </c>
      <c r="C304" s="41" t="inlineStr">
        <is>
          <t>down</t>
        </is>
      </c>
      <c r="D304" s="41" t="n">
        <v>10</v>
      </c>
      <c r="E304" s="48" t="n"/>
      <c r="F304" s="48" t="n"/>
      <c r="G304" s="50">
        <f>IF(ISNUMBER(E304),E304-IF(ISNUMBER(F304),F304,0),"")</f>
        <v/>
      </c>
      <c r="H304" s="51" t="n"/>
      <c r="I304" s="50">
        <f>IF(AND(ISNUMBER(G304),ISNUMBER(H304)),H304-G304,"")</f>
        <v/>
      </c>
      <c r="J304" s="50">
        <f>IF(ISNUMBER(I304),ABS(I304),"")</f>
        <v/>
      </c>
      <c r="K304" s="52">
        <f>IF(ISNUMBER(I304),I304^2,"")</f>
        <v/>
      </c>
    </row>
    <row r="305" ht="15" customHeight="1" s="32">
      <c r="A305" s="41" t="inlineStr">
        <is>
          <t>wrist</t>
        </is>
      </c>
      <c r="B305" s="41" t="n">
        <v>1</v>
      </c>
      <c r="C305" s="41" t="inlineStr">
        <is>
          <t>down</t>
        </is>
      </c>
      <c r="D305" s="41" t="n">
        <v>0</v>
      </c>
      <c r="E305" s="48" t="n"/>
      <c r="F305" s="48" t="n"/>
      <c r="G305" s="50">
        <f>IF(ISNUMBER(E305),E305-IF(ISNUMBER(F305),F305,0),"")</f>
        <v/>
      </c>
      <c r="H305" s="51" t="n"/>
      <c r="I305" s="50">
        <f>IF(AND(ISNUMBER(G305),ISNUMBER(H305)),H305-G305,"")</f>
        <v/>
      </c>
      <c r="J305" s="50">
        <f>IF(ISNUMBER(I305),ABS(I305),"")</f>
        <v/>
      </c>
      <c r="K305" s="52">
        <f>IF(ISNUMBER(I305),I305^2,"")</f>
        <v/>
      </c>
    </row>
    <row r="306" ht="15" customHeight="1" s="32">
      <c r="A306" s="41" t="inlineStr">
        <is>
          <t>wrist</t>
        </is>
      </c>
      <c r="B306" s="41" t="n">
        <v>1</v>
      </c>
      <c r="C306" s="41" t="inlineStr">
        <is>
          <t>down</t>
        </is>
      </c>
      <c r="D306" s="41" t="n">
        <v>-10</v>
      </c>
      <c r="E306" s="48" t="n"/>
      <c r="F306" s="48" t="n"/>
      <c r="G306" s="50">
        <f>IF(ISNUMBER(E306),E306-IF(ISNUMBER(F306),F306,0),"")</f>
        <v/>
      </c>
      <c r="H306" s="51" t="n"/>
      <c r="I306" s="50">
        <f>IF(AND(ISNUMBER(G306),ISNUMBER(H306)),H306-G306,"")</f>
        <v/>
      </c>
      <c r="J306" s="50">
        <f>IF(ISNUMBER(I306),ABS(I306),"")</f>
        <v/>
      </c>
      <c r="K306" s="52">
        <f>IF(ISNUMBER(I306),I306^2,"")</f>
        <v/>
      </c>
    </row>
    <row r="307" ht="15" customHeight="1" s="32">
      <c r="A307" s="41" t="inlineStr">
        <is>
          <t>wrist</t>
        </is>
      </c>
      <c r="B307" s="41" t="n">
        <v>1</v>
      </c>
      <c r="C307" s="41" t="inlineStr">
        <is>
          <t>down</t>
        </is>
      </c>
      <c r="D307" s="41" t="n">
        <v>-20</v>
      </c>
      <c r="E307" s="48" t="n"/>
      <c r="F307" s="48" t="n"/>
      <c r="G307" s="50">
        <f>IF(ISNUMBER(E307),E307-IF(ISNUMBER(F307),F307,0),"")</f>
        <v/>
      </c>
      <c r="H307" s="51" t="n"/>
      <c r="I307" s="50">
        <f>IF(AND(ISNUMBER(G307),ISNUMBER(H307)),H307-G307,"")</f>
        <v/>
      </c>
      <c r="J307" s="50">
        <f>IF(ISNUMBER(I307),ABS(I307),"")</f>
        <v/>
      </c>
      <c r="K307" s="52">
        <f>IF(ISNUMBER(I307),I307^2,"")</f>
        <v/>
      </c>
    </row>
    <row r="308" ht="15" customHeight="1" s="32">
      <c r="A308" s="41" t="inlineStr">
        <is>
          <t>wrist</t>
        </is>
      </c>
      <c r="B308" s="41" t="n">
        <v>1</v>
      </c>
      <c r="C308" s="41" t="inlineStr">
        <is>
          <t>down</t>
        </is>
      </c>
      <c r="D308" s="41" t="n">
        <v>-30</v>
      </c>
      <c r="E308" s="48" t="n"/>
      <c r="F308" s="48" t="n"/>
      <c r="G308" s="50">
        <f>IF(ISNUMBER(E308),E308-IF(ISNUMBER(F308),F308,0),"")</f>
        <v/>
      </c>
      <c r="H308" s="51" t="n"/>
      <c r="I308" s="50">
        <f>IF(AND(ISNUMBER(G308),ISNUMBER(H308)),H308-G308,"")</f>
        <v/>
      </c>
      <c r="J308" s="50">
        <f>IF(ISNUMBER(I308),ABS(I308),"")</f>
        <v/>
      </c>
      <c r="K308" s="52">
        <f>IF(ISNUMBER(I308),I308^2,"")</f>
        <v/>
      </c>
    </row>
    <row r="309" ht="15" customHeight="1" s="32">
      <c r="A309" s="41" t="inlineStr">
        <is>
          <t>wrist</t>
        </is>
      </c>
      <c r="B309" s="41" t="n">
        <v>1</v>
      </c>
      <c r="C309" s="41" t="inlineStr">
        <is>
          <t>down</t>
        </is>
      </c>
      <c r="D309" s="41" t="n">
        <v>-40</v>
      </c>
      <c r="E309" s="48" t="n"/>
      <c r="F309" s="48" t="n"/>
      <c r="G309" s="50">
        <f>IF(ISNUMBER(E309),E309-IF(ISNUMBER(F309),F309,0),"")</f>
        <v/>
      </c>
      <c r="H309" s="51" t="n"/>
      <c r="I309" s="50">
        <f>IF(AND(ISNUMBER(G309),ISNUMBER(H309)),H309-G309,"")</f>
        <v/>
      </c>
      <c r="J309" s="50">
        <f>IF(ISNUMBER(I309),ABS(I309),"")</f>
        <v/>
      </c>
      <c r="K309" s="52">
        <f>IF(ISNUMBER(I309),I309^2,"")</f>
        <v/>
      </c>
    </row>
    <row r="310" ht="15" customHeight="1" s="32">
      <c r="A310" s="41" t="inlineStr">
        <is>
          <t>wrist</t>
        </is>
      </c>
      <c r="B310" s="41" t="n">
        <v>1</v>
      </c>
      <c r="C310" s="41" t="inlineStr">
        <is>
          <t>down</t>
        </is>
      </c>
      <c r="D310" s="41" t="n">
        <v>-50</v>
      </c>
      <c r="E310" s="48" t="n"/>
      <c r="F310" s="48" t="n"/>
      <c r="G310" s="50">
        <f>IF(ISNUMBER(E310),E310-IF(ISNUMBER(F310),F310,0),"")</f>
        <v/>
      </c>
      <c r="H310" s="51" t="n"/>
      <c r="I310" s="50">
        <f>IF(AND(ISNUMBER(G310),ISNUMBER(H310)),H310-G310,"")</f>
        <v/>
      </c>
      <c r="J310" s="50">
        <f>IF(ISNUMBER(I310),ABS(I310),"")</f>
        <v/>
      </c>
      <c r="K310" s="52">
        <f>IF(ISNUMBER(I310),I310^2,"")</f>
        <v/>
      </c>
    </row>
    <row r="311" ht="15" customHeight="1" s="32">
      <c r="A311" s="41" t="inlineStr">
        <is>
          <t>wrist</t>
        </is>
      </c>
      <c r="B311" s="41" t="n">
        <v>1</v>
      </c>
      <c r="C311" s="41" t="inlineStr">
        <is>
          <t>down</t>
        </is>
      </c>
      <c r="D311" s="41" t="n">
        <v>-60</v>
      </c>
      <c r="E311" s="48" t="n"/>
      <c r="F311" s="48" t="n"/>
      <c r="G311" s="50">
        <f>IF(ISNUMBER(E311),E311-IF(ISNUMBER(F311),F311,0),"")</f>
        <v/>
      </c>
      <c r="H311" s="51" t="n"/>
      <c r="I311" s="50">
        <f>IF(AND(ISNUMBER(G311),ISNUMBER(H311)),H311-G311,"")</f>
        <v/>
      </c>
      <c r="J311" s="50">
        <f>IF(ISNUMBER(I311),ABS(I311),"")</f>
        <v/>
      </c>
      <c r="K311" s="52">
        <f>IF(ISNUMBER(I311),I311^2,"")</f>
        <v/>
      </c>
    </row>
    <row r="312" ht="15" customHeight="1" s="32">
      <c r="A312" s="41" t="inlineStr">
        <is>
          <t>wrist</t>
        </is>
      </c>
      <c r="B312" s="41" t="n">
        <v>1</v>
      </c>
      <c r="C312" s="41" t="inlineStr">
        <is>
          <t>down</t>
        </is>
      </c>
      <c r="D312" s="41" t="n">
        <v>-70</v>
      </c>
      <c r="E312" s="48" t="n"/>
      <c r="F312" s="48" t="n"/>
      <c r="G312" s="50">
        <f>IF(ISNUMBER(E312),E312-IF(ISNUMBER(F312),F312,0),"")</f>
        <v/>
      </c>
      <c r="H312" s="51" t="n"/>
      <c r="I312" s="50">
        <f>IF(AND(ISNUMBER(G312),ISNUMBER(H312)),H312-G312,"")</f>
        <v/>
      </c>
      <c r="J312" s="50">
        <f>IF(ISNUMBER(I312),ABS(I312),"")</f>
        <v/>
      </c>
      <c r="K312" s="52">
        <f>IF(ISNUMBER(I312),I312^2,"")</f>
        <v/>
      </c>
    </row>
    <row r="313" ht="15" customHeight="1" s="32">
      <c r="A313" s="41" t="inlineStr">
        <is>
          <t>wrist</t>
        </is>
      </c>
      <c r="B313" s="41" t="n">
        <v>1</v>
      </c>
      <c r="C313" s="41" t="inlineStr">
        <is>
          <t>down</t>
        </is>
      </c>
      <c r="D313" s="41" t="n">
        <v>-80</v>
      </c>
      <c r="E313" s="48" t="n"/>
      <c r="F313" s="48" t="n"/>
      <c r="G313" s="50">
        <f>IF(ISNUMBER(E313),E313-IF(ISNUMBER(F313),F313,0),"")</f>
        <v/>
      </c>
      <c r="H313" s="51" t="n"/>
      <c r="I313" s="50">
        <f>IF(AND(ISNUMBER(G313),ISNUMBER(H313)),H313-G313,"")</f>
        <v/>
      </c>
      <c r="J313" s="50">
        <f>IF(ISNUMBER(I313),ABS(I313),"")</f>
        <v/>
      </c>
      <c r="K313" s="52">
        <f>IF(ISNUMBER(I313),I313^2,"")</f>
        <v/>
      </c>
    </row>
    <row r="314" ht="15" customHeight="1" s="32">
      <c r="A314" s="41" t="inlineStr">
        <is>
          <t>wrist</t>
        </is>
      </c>
      <c r="B314" s="41" t="n">
        <v>2</v>
      </c>
      <c r="C314" s="41" t="inlineStr">
        <is>
          <t>up</t>
        </is>
      </c>
      <c r="D314" s="41" t="n">
        <v>-80</v>
      </c>
      <c r="E314" s="48" t="n"/>
      <c r="F314" s="48" t="n"/>
      <c r="G314" s="50">
        <f>IF(ISNUMBER(E314),E314-IF(ISNUMBER(F314),F314,0),"")</f>
        <v/>
      </c>
      <c r="H314" s="51" t="n"/>
      <c r="I314" s="50">
        <f>IF(AND(ISNUMBER(G314),ISNUMBER(H314)),H314-G314,"")</f>
        <v/>
      </c>
      <c r="J314" s="50">
        <f>IF(ISNUMBER(I314),ABS(I314),"")</f>
        <v/>
      </c>
      <c r="K314" s="52">
        <f>IF(ISNUMBER(I314),I314^2,"")</f>
        <v/>
      </c>
    </row>
    <row r="315" ht="15" customHeight="1" s="32">
      <c r="A315" s="41" t="inlineStr">
        <is>
          <t>wrist</t>
        </is>
      </c>
      <c r="B315" s="41" t="n">
        <v>2</v>
      </c>
      <c r="C315" s="41" t="inlineStr">
        <is>
          <t>up</t>
        </is>
      </c>
      <c r="D315" s="41" t="n">
        <v>-70</v>
      </c>
      <c r="E315" s="48" t="n"/>
      <c r="F315" s="48" t="n"/>
      <c r="G315" s="50">
        <f>IF(ISNUMBER(E315),E315-IF(ISNUMBER(F315),F315,0),"")</f>
        <v/>
      </c>
      <c r="H315" s="51" t="n"/>
      <c r="I315" s="50">
        <f>IF(AND(ISNUMBER(G315),ISNUMBER(H315)),H315-G315,"")</f>
        <v/>
      </c>
      <c r="J315" s="50">
        <f>IF(ISNUMBER(I315),ABS(I315),"")</f>
        <v/>
      </c>
      <c r="K315" s="52">
        <f>IF(ISNUMBER(I315),I315^2,"")</f>
        <v/>
      </c>
    </row>
    <row r="316" ht="15" customHeight="1" s="32">
      <c r="A316" s="41" t="inlineStr">
        <is>
          <t>wrist</t>
        </is>
      </c>
      <c r="B316" s="41" t="n">
        <v>2</v>
      </c>
      <c r="C316" s="41" t="inlineStr">
        <is>
          <t>up</t>
        </is>
      </c>
      <c r="D316" s="41" t="n">
        <v>-60</v>
      </c>
      <c r="E316" s="48" t="n"/>
      <c r="F316" s="48" t="n"/>
      <c r="G316" s="50">
        <f>IF(ISNUMBER(E316),E316-IF(ISNUMBER(F316),F316,0),"")</f>
        <v/>
      </c>
      <c r="H316" s="51" t="n"/>
      <c r="I316" s="50">
        <f>IF(AND(ISNUMBER(G316),ISNUMBER(H316)),H316-G316,"")</f>
        <v/>
      </c>
      <c r="J316" s="50">
        <f>IF(ISNUMBER(I316),ABS(I316),"")</f>
        <v/>
      </c>
      <c r="K316" s="52">
        <f>IF(ISNUMBER(I316),I316^2,"")</f>
        <v/>
      </c>
    </row>
    <row r="317" ht="15" customHeight="1" s="32">
      <c r="A317" s="41" t="inlineStr">
        <is>
          <t>wrist</t>
        </is>
      </c>
      <c r="B317" s="41" t="n">
        <v>2</v>
      </c>
      <c r="C317" s="41" t="inlineStr">
        <is>
          <t>up</t>
        </is>
      </c>
      <c r="D317" s="41" t="n">
        <v>-50</v>
      </c>
      <c r="E317" s="48" t="n"/>
      <c r="F317" s="48" t="n"/>
      <c r="G317" s="50">
        <f>IF(ISNUMBER(E317),E317-IF(ISNUMBER(F317),F317,0),"")</f>
        <v/>
      </c>
      <c r="H317" s="51" t="n"/>
      <c r="I317" s="50">
        <f>IF(AND(ISNUMBER(G317),ISNUMBER(H317)),H317-G317,"")</f>
        <v/>
      </c>
      <c r="J317" s="50">
        <f>IF(ISNUMBER(I317),ABS(I317),"")</f>
        <v/>
      </c>
      <c r="K317" s="52">
        <f>IF(ISNUMBER(I317),I317^2,"")</f>
        <v/>
      </c>
    </row>
    <row r="318" ht="15" customHeight="1" s="32">
      <c r="A318" s="41" t="inlineStr">
        <is>
          <t>wrist</t>
        </is>
      </c>
      <c r="B318" s="41" t="n">
        <v>2</v>
      </c>
      <c r="C318" s="41" t="inlineStr">
        <is>
          <t>up</t>
        </is>
      </c>
      <c r="D318" s="41" t="n">
        <v>-40</v>
      </c>
      <c r="E318" s="48" t="n"/>
      <c r="F318" s="48" t="n"/>
      <c r="G318" s="50">
        <f>IF(ISNUMBER(E318),E318-IF(ISNUMBER(F318),F318,0),"")</f>
        <v/>
      </c>
      <c r="H318" s="51" t="n"/>
      <c r="I318" s="50">
        <f>IF(AND(ISNUMBER(G318),ISNUMBER(H318)),H318-G318,"")</f>
        <v/>
      </c>
      <c r="J318" s="50">
        <f>IF(ISNUMBER(I318),ABS(I318),"")</f>
        <v/>
      </c>
      <c r="K318" s="52">
        <f>IF(ISNUMBER(I318),I318^2,"")</f>
        <v/>
      </c>
    </row>
    <row r="319" ht="15" customHeight="1" s="32">
      <c r="A319" s="41" t="inlineStr">
        <is>
          <t>wrist</t>
        </is>
      </c>
      <c r="B319" s="41" t="n">
        <v>2</v>
      </c>
      <c r="C319" s="41" t="inlineStr">
        <is>
          <t>up</t>
        </is>
      </c>
      <c r="D319" s="41" t="n">
        <v>-30</v>
      </c>
      <c r="E319" s="48" t="n"/>
      <c r="F319" s="48" t="n"/>
      <c r="G319" s="50">
        <f>IF(ISNUMBER(E319),E319-IF(ISNUMBER(F319),F319,0),"")</f>
        <v/>
      </c>
      <c r="H319" s="51" t="n"/>
      <c r="I319" s="50">
        <f>IF(AND(ISNUMBER(G319),ISNUMBER(H319)),H319-G319,"")</f>
        <v/>
      </c>
      <c r="J319" s="50">
        <f>IF(ISNUMBER(I319),ABS(I319),"")</f>
        <v/>
      </c>
      <c r="K319" s="52">
        <f>IF(ISNUMBER(I319),I319^2,"")</f>
        <v/>
      </c>
    </row>
    <row r="320" ht="15" customHeight="1" s="32">
      <c r="A320" s="41" t="inlineStr">
        <is>
          <t>wrist</t>
        </is>
      </c>
      <c r="B320" s="41" t="n">
        <v>2</v>
      </c>
      <c r="C320" s="41" t="inlineStr">
        <is>
          <t>up</t>
        </is>
      </c>
      <c r="D320" s="41" t="n">
        <v>-20</v>
      </c>
      <c r="E320" s="48" t="n"/>
      <c r="F320" s="48" t="n"/>
      <c r="G320" s="50">
        <f>IF(ISNUMBER(E320),E320-IF(ISNUMBER(F320),F320,0),"")</f>
        <v/>
      </c>
      <c r="H320" s="51" t="n"/>
      <c r="I320" s="50">
        <f>IF(AND(ISNUMBER(G320),ISNUMBER(H320)),H320-G320,"")</f>
        <v/>
      </c>
      <c r="J320" s="50">
        <f>IF(ISNUMBER(I320),ABS(I320),"")</f>
        <v/>
      </c>
      <c r="K320" s="52">
        <f>IF(ISNUMBER(I320),I320^2,"")</f>
        <v/>
      </c>
    </row>
    <row r="321" ht="15" customHeight="1" s="32">
      <c r="A321" s="41" t="inlineStr">
        <is>
          <t>wrist</t>
        </is>
      </c>
      <c r="B321" s="41" t="n">
        <v>2</v>
      </c>
      <c r="C321" s="41" t="inlineStr">
        <is>
          <t>up</t>
        </is>
      </c>
      <c r="D321" s="41" t="n">
        <v>-10</v>
      </c>
      <c r="E321" s="48" t="n"/>
      <c r="F321" s="48" t="n"/>
      <c r="G321" s="50">
        <f>IF(ISNUMBER(E321),E321-IF(ISNUMBER(F321),F321,0),"")</f>
        <v/>
      </c>
      <c r="H321" s="51" t="n"/>
      <c r="I321" s="50">
        <f>IF(AND(ISNUMBER(G321),ISNUMBER(H321)),H321-G321,"")</f>
        <v/>
      </c>
      <c r="J321" s="50">
        <f>IF(ISNUMBER(I321),ABS(I321),"")</f>
        <v/>
      </c>
      <c r="K321" s="52">
        <f>IF(ISNUMBER(I321),I321^2,"")</f>
        <v/>
      </c>
    </row>
    <row r="322" ht="15" customHeight="1" s="32">
      <c r="A322" s="41" t="inlineStr">
        <is>
          <t>wrist</t>
        </is>
      </c>
      <c r="B322" s="41" t="n">
        <v>2</v>
      </c>
      <c r="C322" s="41" t="inlineStr">
        <is>
          <t>up</t>
        </is>
      </c>
      <c r="D322" s="41" t="n">
        <v>0</v>
      </c>
      <c r="E322" s="48" t="n"/>
      <c r="F322" s="48" t="n"/>
      <c r="G322" s="50">
        <f>IF(ISNUMBER(E322),E322-IF(ISNUMBER(F322),F322,0),"")</f>
        <v/>
      </c>
      <c r="H322" s="51" t="n"/>
      <c r="I322" s="50">
        <f>IF(AND(ISNUMBER(G322),ISNUMBER(H322)),H322-G322,"")</f>
        <v/>
      </c>
      <c r="J322" s="50">
        <f>IF(ISNUMBER(I322),ABS(I322),"")</f>
        <v/>
      </c>
      <c r="K322" s="52">
        <f>IF(ISNUMBER(I322),I322^2,"")</f>
        <v/>
      </c>
    </row>
    <row r="323" ht="15" customHeight="1" s="32">
      <c r="A323" s="41" t="inlineStr">
        <is>
          <t>wrist</t>
        </is>
      </c>
      <c r="B323" s="41" t="n">
        <v>2</v>
      </c>
      <c r="C323" s="41" t="inlineStr">
        <is>
          <t>up</t>
        </is>
      </c>
      <c r="D323" s="41" t="n">
        <v>10</v>
      </c>
      <c r="E323" s="48" t="n"/>
      <c r="F323" s="48" t="n"/>
      <c r="G323" s="50">
        <f>IF(ISNUMBER(E323),E323-IF(ISNUMBER(F323),F323,0),"")</f>
        <v/>
      </c>
      <c r="H323" s="51" t="n"/>
      <c r="I323" s="50">
        <f>IF(AND(ISNUMBER(G323),ISNUMBER(H323)),H323-G323,"")</f>
        <v/>
      </c>
      <c r="J323" s="50">
        <f>IF(ISNUMBER(I323),ABS(I323),"")</f>
        <v/>
      </c>
      <c r="K323" s="52">
        <f>IF(ISNUMBER(I323),I323^2,"")</f>
        <v/>
      </c>
    </row>
    <row r="324" ht="15" customHeight="1" s="32">
      <c r="A324" s="41" t="inlineStr">
        <is>
          <t>wrist</t>
        </is>
      </c>
      <c r="B324" s="41" t="n">
        <v>2</v>
      </c>
      <c r="C324" s="41" t="inlineStr">
        <is>
          <t>up</t>
        </is>
      </c>
      <c r="D324" s="41" t="n">
        <v>20</v>
      </c>
      <c r="E324" s="48" t="n"/>
      <c r="F324" s="48" t="n"/>
      <c r="G324" s="50">
        <f>IF(ISNUMBER(E324),E324-IF(ISNUMBER(F324),F324,0),"")</f>
        <v/>
      </c>
      <c r="H324" s="51" t="n"/>
      <c r="I324" s="50">
        <f>IF(AND(ISNUMBER(G324),ISNUMBER(H324)),H324-G324,"")</f>
        <v/>
      </c>
      <c r="J324" s="50">
        <f>IF(ISNUMBER(I324),ABS(I324),"")</f>
        <v/>
      </c>
      <c r="K324" s="52">
        <f>IF(ISNUMBER(I324),I324^2,"")</f>
        <v/>
      </c>
    </row>
    <row r="325" ht="15" customHeight="1" s="32">
      <c r="A325" s="41" t="inlineStr">
        <is>
          <t>wrist</t>
        </is>
      </c>
      <c r="B325" s="41" t="n">
        <v>2</v>
      </c>
      <c r="C325" s="41" t="inlineStr">
        <is>
          <t>up</t>
        </is>
      </c>
      <c r="D325" s="41" t="n">
        <v>30</v>
      </c>
      <c r="E325" s="48" t="n"/>
      <c r="F325" s="48" t="n"/>
      <c r="G325" s="50">
        <f>IF(ISNUMBER(E325),E325-IF(ISNUMBER(F325),F325,0),"")</f>
        <v/>
      </c>
      <c r="H325" s="51" t="n"/>
      <c r="I325" s="50">
        <f>IF(AND(ISNUMBER(G325),ISNUMBER(H325)),H325-G325,"")</f>
        <v/>
      </c>
      <c r="J325" s="50">
        <f>IF(ISNUMBER(I325),ABS(I325),"")</f>
        <v/>
      </c>
      <c r="K325" s="52">
        <f>IF(ISNUMBER(I325),I325^2,"")</f>
        <v/>
      </c>
    </row>
    <row r="326" ht="15" customHeight="1" s="32">
      <c r="A326" s="41" t="inlineStr">
        <is>
          <t>wrist</t>
        </is>
      </c>
      <c r="B326" s="41" t="n">
        <v>2</v>
      </c>
      <c r="C326" s="41" t="inlineStr">
        <is>
          <t>up</t>
        </is>
      </c>
      <c r="D326" s="41" t="n">
        <v>40</v>
      </c>
      <c r="E326" s="48" t="n"/>
      <c r="F326" s="48" t="n"/>
      <c r="G326" s="50">
        <f>IF(ISNUMBER(E326),E326-IF(ISNUMBER(F326),F326,0),"")</f>
        <v/>
      </c>
      <c r="H326" s="51" t="n"/>
      <c r="I326" s="50">
        <f>IF(AND(ISNUMBER(G326),ISNUMBER(H326)),H326-G326,"")</f>
        <v/>
      </c>
      <c r="J326" s="50">
        <f>IF(ISNUMBER(I326),ABS(I326),"")</f>
        <v/>
      </c>
      <c r="K326" s="52">
        <f>IF(ISNUMBER(I326),I326^2,"")</f>
        <v/>
      </c>
    </row>
    <row r="327" ht="15" customHeight="1" s="32">
      <c r="A327" s="41" t="inlineStr">
        <is>
          <t>wrist</t>
        </is>
      </c>
      <c r="B327" s="41" t="n">
        <v>2</v>
      </c>
      <c r="C327" s="41" t="inlineStr">
        <is>
          <t>up</t>
        </is>
      </c>
      <c r="D327" s="41" t="n">
        <v>50</v>
      </c>
      <c r="E327" s="48" t="n"/>
      <c r="F327" s="48" t="n"/>
      <c r="G327" s="50">
        <f>IF(ISNUMBER(E327),E327-IF(ISNUMBER(F327),F327,0),"")</f>
        <v/>
      </c>
      <c r="H327" s="51" t="n"/>
      <c r="I327" s="50">
        <f>IF(AND(ISNUMBER(G327),ISNUMBER(H327)),H327-G327,"")</f>
        <v/>
      </c>
      <c r="J327" s="50">
        <f>IF(ISNUMBER(I327),ABS(I327),"")</f>
        <v/>
      </c>
      <c r="K327" s="52">
        <f>IF(ISNUMBER(I327),I327^2,"")</f>
        <v/>
      </c>
    </row>
    <row r="328" ht="15" customHeight="1" s="32">
      <c r="A328" s="41" t="inlineStr">
        <is>
          <t>wrist</t>
        </is>
      </c>
      <c r="B328" s="41" t="n">
        <v>2</v>
      </c>
      <c r="C328" s="41" t="inlineStr">
        <is>
          <t>up</t>
        </is>
      </c>
      <c r="D328" s="41" t="n">
        <v>60</v>
      </c>
      <c r="E328" s="48" t="n"/>
      <c r="F328" s="48" t="n"/>
      <c r="G328" s="50">
        <f>IF(ISNUMBER(E328),E328-IF(ISNUMBER(F328),F328,0),"")</f>
        <v/>
      </c>
      <c r="H328" s="51" t="n"/>
      <c r="I328" s="50">
        <f>IF(AND(ISNUMBER(G328),ISNUMBER(H328)),H328-G328,"")</f>
        <v/>
      </c>
      <c r="J328" s="50">
        <f>IF(ISNUMBER(I328),ABS(I328),"")</f>
        <v/>
      </c>
      <c r="K328" s="52">
        <f>IF(ISNUMBER(I328),I328^2,"")</f>
        <v/>
      </c>
    </row>
    <row r="329" ht="15" customHeight="1" s="32">
      <c r="A329" s="41" t="inlineStr">
        <is>
          <t>wrist</t>
        </is>
      </c>
      <c r="B329" s="41" t="n">
        <v>2</v>
      </c>
      <c r="C329" s="41" t="inlineStr">
        <is>
          <t>up</t>
        </is>
      </c>
      <c r="D329" s="41" t="n">
        <v>70</v>
      </c>
      <c r="E329" s="48" t="n"/>
      <c r="F329" s="48" t="n"/>
      <c r="G329" s="50">
        <f>IF(ISNUMBER(E329),E329-IF(ISNUMBER(F329),F329,0),"")</f>
        <v/>
      </c>
      <c r="H329" s="51" t="n"/>
      <c r="I329" s="50">
        <f>IF(AND(ISNUMBER(G329),ISNUMBER(H329)),H329-G329,"")</f>
        <v/>
      </c>
      <c r="J329" s="50">
        <f>IF(ISNUMBER(I329),ABS(I329),"")</f>
        <v/>
      </c>
      <c r="K329" s="52">
        <f>IF(ISNUMBER(I329),I329^2,"")</f>
        <v/>
      </c>
    </row>
    <row r="330" ht="15" customHeight="1" s="32">
      <c r="A330" s="41" t="inlineStr">
        <is>
          <t>wrist</t>
        </is>
      </c>
      <c r="B330" s="41" t="n">
        <v>2</v>
      </c>
      <c r="C330" s="41" t="inlineStr">
        <is>
          <t>up</t>
        </is>
      </c>
      <c r="D330" s="41" t="n">
        <v>80</v>
      </c>
      <c r="E330" s="48" t="n"/>
      <c r="F330" s="48" t="n"/>
      <c r="G330" s="50">
        <f>IF(ISNUMBER(E330),E330-IF(ISNUMBER(F330),F330,0),"")</f>
        <v/>
      </c>
      <c r="H330" s="51" t="n"/>
      <c r="I330" s="50">
        <f>IF(AND(ISNUMBER(G330),ISNUMBER(H330)),H330-G330,"")</f>
        <v/>
      </c>
      <c r="J330" s="50">
        <f>IF(ISNUMBER(I330),ABS(I330),"")</f>
        <v/>
      </c>
      <c r="K330" s="52">
        <f>IF(ISNUMBER(I330),I330^2,"")</f>
        <v/>
      </c>
    </row>
    <row r="331" ht="15" customHeight="1" s="32">
      <c r="A331" s="41" t="inlineStr">
        <is>
          <t>wrist</t>
        </is>
      </c>
      <c r="B331" s="41" t="n">
        <v>2</v>
      </c>
      <c r="C331" s="41" t="inlineStr">
        <is>
          <t>up</t>
        </is>
      </c>
      <c r="D331" s="41" t="n">
        <v>90</v>
      </c>
      <c r="E331" s="48" t="n"/>
      <c r="F331" s="48" t="n"/>
      <c r="G331" s="50">
        <f>IF(ISNUMBER(E331),E331-IF(ISNUMBER(F331),F331,0),"")</f>
        <v/>
      </c>
      <c r="H331" s="51" t="n"/>
      <c r="I331" s="50">
        <f>IF(AND(ISNUMBER(G331),ISNUMBER(H331)),H331-G331,"")</f>
        <v/>
      </c>
      <c r="J331" s="50">
        <f>IF(ISNUMBER(I331),ABS(I331),"")</f>
        <v/>
      </c>
      <c r="K331" s="52">
        <f>IF(ISNUMBER(I331),I331^2,"")</f>
        <v/>
      </c>
    </row>
    <row r="332" ht="15" customHeight="1" s="32">
      <c r="A332" s="41" t="inlineStr">
        <is>
          <t>wrist</t>
        </is>
      </c>
      <c r="B332" s="41" t="n">
        <v>2</v>
      </c>
      <c r="C332" s="41" t="inlineStr">
        <is>
          <t>down</t>
        </is>
      </c>
      <c r="D332" s="41" t="n">
        <v>90</v>
      </c>
      <c r="E332" s="48" t="n"/>
      <c r="F332" s="48" t="n"/>
      <c r="G332" s="50">
        <f>IF(ISNUMBER(E332),E332-IF(ISNUMBER(F332),F332,0),"")</f>
        <v/>
      </c>
      <c r="H332" s="51" t="n"/>
      <c r="I332" s="50">
        <f>IF(AND(ISNUMBER(G332),ISNUMBER(H332)),H332-G332,"")</f>
        <v/>
      </c>
      <c r="J332" s="50">
        <f>IF(ISNUMBER(I332),ABS(I332),"")</f>
        <v/>
      </c>
      <c r="K332" s="52">
        <f>IF(ISNUMBER(I332),I332^2,"")</f>
        <v/>
      </c>
    </row>
    <row r="333" ht="15" customHeight="1" s="32">
      <c r="A333" s="41" t="inlineStr">
        <is>
          <t>wrist</t>
        </is>
      </c>
      <c r="B333" s="41" t="n">
        <v>2</v>
      </c>
      <c r="C333" s="41" t="inlineStr">
        <is>
          <t>down</t>
        </is>
      </c>
      <c r="D333" s="41" t="n">
        <v>80</v>
      </c>
      <c r="E333" s="48" t="n"/>
      <c r="F333" s="48" t="n"/>
      <c r="G333" s="50">
        <f>IF(ISNUMBER(E333),E333-IF(ISNUMBER(F333),F333,0),"")</f>
        <v/>
      </c>
      <c r="H333" s="51" t="n"/>
      <c r="I333" s="50">
        <f>IF(AND(ISNUMBER(G333),ISNUMBER(H333)),H333-G333,"")</f>
        <v/>
      </c>
      <c r="J333" s="50">
        <f>IF(ISNUMBER(I333),ABS(I333),"")</f>
        <v/>
      </c>
      <c r="K333" s="52">
        <f>IF(ISNUMBER(I333),I333^2,"")</f>
        <v/>
      </c>
    </row>
    <row r="334" ht="15" customHeight="1" s="32">
      <c r="A334" s="41" t="inlineStr">
        <is>
          <t>wrist</t>
        </is>
      </c>
      <c r="B334" s="41" t="n">
        <v>2</v>
      </c>
      <c r="C334" s="41" t="inlineStr">
        <is>
          <t>down</t>
        </is>
      </c>
      <c r="D334" s="41" t="n">
        <v>70</v>
      </c>
      <c r="E334" s="48" t="n"/>
      <c r="F334" s="48" t="n"/>
      <c r="G334" s="50">
        <f>IF(ISNUMBER(E334),E334-IF(ISNUMBER(F334),F334,0),"")</f>
        <v/>
      </c>
      <c r="H334" s="51" t="n"/>
      <c r="I334" s="50">
        <f>IF(AND(ISNUMBER(G334),ISNUMBER(H334)),H334-G334,"")</f>
        <v/>
      </c>
      <c r="J334" s="50">
        <f>IF(ISNUMBER(I334),ABS(I334),"")</f>
        <v/>
      </c>
      <c r="K334" s="52">
        <f>IF(ISNUMBER(I334),I334^2,"")</f>
        <v/>
      </c>
    </row>
    <row r="335" ht="15" customHeight="1" s="32">
      <c r="A335" s="41" t="inlineStr">
        <is>
          <t>wrist</t>
        </is>
      </c>
      <c r="B335" s="41" t="n">
        <v>2</v>
      </c>
      <c r="C335" s="41" t="inlineStr">
        <is>
          <t>down</t>
        </is>
      </c>
      <c r="D335" s="41" t="n">
        <v>60</v>
      </c>
      <c r="E335" s="48" t="n"/>
      <c r="F335" s="48" t="n"/>
      <c r="G335" s="50">
        <f>IF(ISNUMBER(E335),E335-IF(ISNUMBER(F335),F335,0),"")</f>
        <v/>
      </c>
      <c r="H335" s="51" t="n"/>
      <c r="I335" s="50">
        <f>IF(AND(ISNUMBER(G335),ISNUMBER(H335)),H335-G335,"")</f>
        <v/>
      </c>
      <c r="J335" s="50">
        <f>IF(ISNUMBER(I335),ABS(I335),"")</f>
        <v/>
      </c>
      <c r="K335" s="52">
        <f>IF(ISNUMBER(I335),I335^2,"")</f>
        <v/>
      </c>
    </row>
    <row r="336" ht="15" customHeight="1" s="32">
      <c r="A336" s="41" t="inlineStr">
        <is>
          <t>wrist</t>
        </is>
      </c>
      <c r="B336" s="41" t="n">
        <v>2</v>
      </c>
      <c r="C336" s="41" t="inlineStr">
        <is>
          <t>down</t>
        </is>
      </c>
      <c r="D336" s="41" t="n">
        <v>50</v>
      </c>
      <c r="E336" s="48" t="n"/>
      <c r="F336" s="48" t="n"/>
      <c r="G336" s="50">
        <f>IF(ISNUMBER(E336),E336-IF(ISNUMBER(F336),F336,0),"")</f>
        <v/>
      </c>
      <c r="H336" s="51" t="n"/>
      <c r="I336" s="50">
        <f>IF(AND(ISNUMBER(G336),ISNUMBER(H336)),H336-G336,"")</f>
        <v/>
      </c>
      <c r="J336" s="50">
        <f>IF(ISNUMBER(I336),ABS(I336),"")</f>
        <v/>
      </c>
      <c r="K336" s="52">
        <f>IF(ISNUMBER(I336),I336^2,"")</f>
        <v/>
      </c>
    </row>
    <row r="337" ht="15" customHeight="1" s="32">
      <c r="A337" s="41" t="inlineStr">
        <is>
          <t>wrist</t>
        </is>
      </c>
      <c r="B337" s="41" t="n">
        <v>2</v>
      </c>
      <c r="C337" s="41" t="inlineStr">
        <is>
          <t>down</t>
        </is>
      </c>
      <c r="D337" s="41" t="n">
        <v>40</v>
      </c>
      <c r="E337" s="48" t="n"/>
      <c r="F337" s="48" t="n"/>
      <c r="G337" s="50">
        <f>IF(ISNUMBER(E337),E337-IF(ISNUMBER(F337),F337,0),"")</f>
        <v/>
      </c>
      <c r="H337" s="51" t="n"/>
      <c r="I337" s="50">
        <f>IF(AND(ISNUMBER(G337),ISNUMBER(H337)),H337-G337,"")</f>
        <v/>
      </c>
      <c r="J337" s="50">
        <f>IF(ISNUMBER(I337),ABS(I337),"")</f>
        <v/>
      </c>
      <c r="K337" s="52">
        <f>IF(ISNUMBER(I337),I337^2,"")</f>
        <v/>
      </c>
    </row>
    <row r="338" ht="15" customHeight="1" s="32">
      <c r="A338" s="41" t="inlineStr">
        <is>
          <t>wrist</t>
        </is>
      </c>
      <c r="B338" s="41" t="n">
        <v>2</v>
      </c>
      <c r="C338" s="41" t="inlineStr">
        <is>
          <t>down</t>
        </is>
      </c>
      <c r="D338" s="41" t="n">
        <v>30</v>
      </c>
      <c r="E338" s="48" t="n"/>
      <c r="F338" s="48" t="n"/>
      <c r="G338" s="50">
        <f>IF(ISNUMBER(E338),E338-IF(ISNUMBER(F338),F338,0),"")</f>
        <v/>
      </c>
      <c r="H338" s="51" t="n"/>
      <c r="I338" s="50">
        <f>IF(AND(ISNUMBER(G338),ISNUMBER(H338)),H338-G338,"")</f>
        <v/>
      </c>
      <c r="J338" s="50">
        <f>IF(ISNUMBER(I338),ABS(I338),"")</f>
        <v/>
      </c>
      <c r="K338" s="52">
        <f>IF(ISNUMBER(I338),I338^2,"")</f>
        <v/>
      </c>
    </row>
    <row r="339" ht="15" customHeight="1" s="32">
      <c r="A339" s="41" t="inlineStr">
        <is>
          <t>wrist</t>
        </is>
      </c>
      <c r="B339" s="41" t="n">
        <v>2</v>
      </c>
      <c r="C339" s="41" t="inlineStr">
        <is>
          <t>down</t>
        </is>
      </c>
      <c r="D339" s="41" t="n">
        <v>20</v>
      </c>
      <c r="E339" s="48" t="n"/>
      <c r="F339" s="48" t="n"/>
      <c r="G339" s="50">
        <f>IF(ISNUMBER(E339),E339-IF(ISNUMBER(F339),F339,0),"")</f>
        <v/>
      </c>
      <c r="H339" s="51" t="n"/>
      <c r="I339" s="50">
        <f>IF(AND(ISNUMBER(G339),ISNUMBER(H339)),H339-G339,"")</f>
        <v/>
      </c>
      <c r="J339" s="50">
        <f>IF(ISNUMBER(I339),ABS(I339),"")</f>
        <v/>
      </c>
      <c r="K339" s="52">
        <f>IF(ISNUMBER(I339),I339^2,"")</f>
        <v/>
      </c>
    </row>
    <row r="340" ht="15" customHeight="1" s="32">
      <c r="A340" s="41" t="inlineStr">
        <is>
          <t>wrist</t>
        </is>
      </c>
      <c r="B340" s="41" t="n">
        <v>2</v>
      </c>
      <c r="C340" s="41" t="inlineStr">
        <is>
          <t>down</t>
        </is>
      </c>
      <c r="D340" s="41" t="n">
        <v>10</v>
      </c>
      <c r="E340" s="48" t="n"/>
      <c r="F340" s="48" t="n"/>
      <c r="G340" s="50">
        <f>IF(ISNUMBER(E340),E340-IF(ISNUMBER(F340),F340,0),"")</f>
        <v/>
      </c>
      <c r="H340" s="51" t="n"/>
      <c r="I340" s="50">
        <f>IF(AND(ISNUMBER(G340),ISNUMBER(H340)),H340-G340,"")</f>
        <v/>
      </c>
      <c r="J340" s="50">
        <f>IF(ISNUMBER(I340),ABS(I340),"")</f>
        <v/>
      </c>
      <c r="K340" s="52">
        <f>IF(ISNUMBER(I340),I340^2,"")</f>
        <v/>
      </c>
    </row>
    <row r="341" ht="15" customHeight="1" s="32">
      <c r="A341" s="41" t="inlineStr">
        <is>
          <t>wrist</t>
        </is>
      </c>
      <c r="B341" s="41" t="n">
        <v>2</v>
      </c>
      <c r="C341" s="41" t="inlineStr">
        <is>
          <t>down</t>
        </is>
      </c>
      <c r="D341" s="41" t="n">
        <v>0</v>
      </c>
      <c r="E341" s="48" t="n"/>
      <c r="F341" s="48" t="n"/>
      <c r="G341" s="50">
        <f>IF(ISNUMBER(E341),E341-IF(ISNUMBER(F341),F341,0),"")</f>
        <v/>
      </c>
      <c r="H341" s="51" t="n"/>
      <c r="I341" s="50">
        <f>IF(AND(ISNUMBER(G341),ISNUMBER(H341)),H341-G341,"")</f>
        <v/>
      </c>
      <c r="J341" s="50">
        <f>IF(ISNUMBER(I341),ABS(I341),"")</f>
        <v/>
      </c>
      <c r="K341" s="52">
        <f>IF(ISNUMBER(I341),I341^2,"")</f>
        <v/>
      </c>
    </row>
    <row r="342" ht="15" customHeight="1" s="32">
      <c r="A342" s="41" t="inlineStr">
        <is>
          <t>wrist</t>
        </is>
      </c>
      <c r="B342" s="41" t="n">
        <v>2</v>
      </c>
      <c r="C342" s="41" t="inlineStr">
        <is>
          <t>down</t>
        </is>
      </c>
      <c r="D342" s="41" t="n">
        <v>-10</v>
      </c>
      <c r="E342" s="48" t="n"/>
      <c r="F342" s="48" t="n"/>
      <c r="G342" s="50">
        <f>IF(ISNUMBER(E342),E342-IF(ISNUMBER(F342),F342,0),"")</f>
        <v/>
      </c>
      <c r="H342" s="51" t="n"/>
      <c r="I342" s="50">
        <f>IF(AND(ISNUMBER(G342),ISNUMBER(H342)),H342-G342,"")</f>
        <v/>
      </c>
      <c r="J342" s="50">
        <f>IF(ISNUMBER(I342),ABS(I342),"")</f>
        <v/>
      </c>
      <c r="K342" s="52">
        <f>IF(ISNUMBER(I342),I342^2,"")</f>
        <v/>
      </c>
    </row>
    <row r="343" ht="15" customHeight="1" s="32">
      <c r="A343" s="41" t="inlineStr">
        <is>
          <t>wrist</t>
        </is>
      </c>
      <c r="B343" s="41" t="n">
        <v>2</v>
      </c>
      <c r="C343" s="41" t="inlineStr">
        <is>
          <t>down</t>
        </is>
      </c>
      <c r="D343" s="41" t="n">
        <v>-20</v>
      </c>
      <c r="E343" s="48" t="n"/>
      <c r="F343" s="48" t="n"/>
      <c r="G343" s="50">
        <f>IF(ISNUMBER(E343),E343-IF(ISNUMBER(F343),F343,0),"")</f>
        <v/>
      </c>
      <c r="H343" s="51" t="n"/>
      <c r="I343" s="50">
        <f>IF(AND(ISNUMBER(G343),ISNUMBER(H343)),H343-G343,"")</f>
        <v/>
      </c>
      <c r="J343" s="50">
        <f>IF(ISNUMBER(I343),ABS(I343),"")</f>
        <v/>
      </c>
      <c r="K343" s="52">
        <f>IF(ISNUMBER(I343),I343^2,"")</f>
        <v/>
      </c>
    </row>
    <row r="344" ht="15" customHeight="1" s="32">
      <c r="A344" s="41" t="inlineStr">
        <is>
          <t>wrist</t>
        </is>
      </c>
      <c r="B344" s="41" t="n">
        <v>2</v>
      </c>
      <c r="C344" s="41" t="inlineStr">
        <is>
          <t>down</t>
        </is>
      </c>
      <c r="D344" s="41" t="n">
        <v>-30</v>
      </c>
      <c r="E344" s="48" t="n"/>
      <c r="F344" s="48" t="n"/>
      <c r="G344" s="50">
        <f>IF(ISNUMBER(E344),E344-IF(ISNUMBER(F344),F344,0),"")</f>
        <v/>
      </c>
      <c r="H344" s="51" t="n"/>
      <c r="I344" s="50">
        <f>IF(AND(ISNUMBER(G344),ISNUMBER(H344)),H344-G344,"")</f>
        <v/>
      </c>
      <c r="J344" s="50">
        <f>IF(ISNUMBER(I344),ABS(I344),"")</f>
        <v/>
      </c>
      <c r="K344" s="52">
        <f>IF(ISNUMBER(I344),I344^2,"")</f>
        <v/>
      </c>
    </row>
    <row r="345" ht="15" customHeight="1" s="32">
      <c r="A345" s="41" t="inlineStr">
        <is>
          <t>wrist</t>
        </is>
      </c>
      <c r="B345" s="41" t="n">
        <v>2</v>
      </c>
      <c r="C345" s="41" t="inlineStr">
        <is>
          <t>down</t>
        </is>
      </c>
      <c r="D345" s="41" t="n">
        <v>-40</v>
      </c>
      <c r="E345" s="48" t="n"/>
      <c r="F345" s="48" t="n"/>
      <c r="G345" s="50">
        <f>IF(ISNUMBER(E345),E345-IF(ISNUMBER(F345),F345,0),"")</f>
        <v/>
      </c>
      <c r="H345" s="51" t="n"/>
      <c r="I345" s="50">
        <f>IF(AND(ISNUMBER(G345),ISNUMBER(H345)),H345-G345,"")</f>
        <v/>
      </c>
      <c r="J345" s="50">
        <f>IF(ISNUMBER(I345),ABS(I345),"")</f>
        <v/>
      </c>
      <c r="K345" s="52">
        <f>IF(ISNUMBER(I345),I345^2,"")</f>
        <v/>
      </c>
    </row>
    <row r="346" ht="15" customHeight="1" s="32">
      <c r="A346" s="41" t="inlineStr">
        <is>
          <t>wrist</t>
        </is>
      </c>
      <c r="B346" s="41" t="n">
        <v>2</v>
      </c>
      <c r="C346" s="41" t="inlineStr">
        <is>
          <t>down</t>
        </is>
      </c>
      <c r="D346" s="41" t="n">
        <v>-50</v>
      </c>
      <c r="E346" s="48" t="n"/>
      <c r="F346" s="48" t="n"/>
      <c r="G346" s="50">
        <f>IF(ISNUMBER(E346),E346-IF(ISNUMBER(F346),F346,0),"")</f>
        <v/>
      </c>
      <c r="H346" s="51" t="n"/>
      <c r="I346" s="50">
        <f>IF(AND(ISNUMBER(G346),ISNUMBER(H346)),H346-G346,"")</f>
        <v/>
      </c>
      <c r="J346" s="50">
        <f>IF(ISNUMBER(I346),ABS(I346),"")</f>
        <v/>
      </c>
      <c r="K346" s="52">
        <f>IF(ISNUMBER(I346),I346^2,"")</f>
        <v/>
      </c>
    </row>
    <row r="347" ht="15" customHeight="1" s="32">
      <c r="A347" s="41" t="inlineStr">
        <is>
          <t>wrist</t>
        </is>
      </c>
      <c r="B347" s="41" t="n">
        <v>2</v>
      </c>
      <c r="C347" s="41" t="inlineStr">
        <is>
          <t>down</t>
        </is>
      </c>
      <c r="D347" s="41" t="n">
        <v>-60</v>
      </c>
      <c r="E347" s="48" t="n"/>
      <c r="F347" s="48" t="n"/>
      <c r="G347" s="50">
        <f>IF(ISNUMBER(E347),E347-IF(ISNUMBER(F347),F347,0),"")</f>
        <v/>
      </c>
      <c r="H347" s="51" t="n"/>
      <c r="I347" s="50">
        <f>IF(AND(ISNUMBER(G347),ISNUMBER(H347)),H347-G347,"")</f>
        <v/>
      </c>
      <c r="J347" s="50">
        <f>IF(ISNUMBER(I347),ABS(I347),"")</f>
        <v/>
      </c>
      <c r="K347" s="52">
        <f>IF(ISNUMBER(I347),I347^2,"")</f>
        <v/>
      </c>
    </row>
    <row r="348" ht="15" customHeight="1" s="32">
      <c r="A348" s="41" t="inlineStr">
        <is>
          <t>wrist</t>
        </is>
      </c>
      <c r="B348" s="41" t="n">
        <v>2</v>
      </c>
      <c r="C348" s="41" t="inlineStr">
        <is>
          <t>down</t>
        </is>
      </c>
      <c r="D348" s="41" t="n">
        <v>-70</v>
      </c>
      <c r="E348" s="48" t="n"/>
      <c r="F348" s="48" t="n"/>
      <c r="G348" s="50">
        <f>IF(ISNUMBER(E348),E348-IF(ISNUMBER(F348),F348,0),"")</f>
        <v/>
      </c>
      <c r="H348" s="51" t="n"/>
      <c r="I348" s="50">
        <f>IF(AND(ISNUMBER(G348),ISNUMBER(H348)),H348-G348,"")</f>
        <v/>
      </c>
      <c r="J348" s="50">
        <f>IF(ISNUMBER(I348),ABS(I348),"")</f>
        <v/>
      </c>
      <c r="K348" s="52">
        <f>IF(ISNUMBER(I348),I348^2,"")</f>
        <v/>
      </c>
    </row>
    <row r="349" ht="15" customHeight="1" s="32">
      <c r="A349" s="41" t="inlineStr">
        <is>
          <t>wrist</t>
        </is>
      </c>
      <c r="B349" s="41" t="n">
        <v>2</v>
      </c>
      <c r="C349" s="41" t="inlineStr">
        <is>
          <t>down</t>
        </is>
      </c>
      <c r="D349" s="41" t="n">
        <v>-80</v>
      </c>
      <c r="E349" s="48" t="n"/>
      <c r="F349" s="48" t="n"/>
      <c r="G349" s="50">
        <f>IF(ISNUMBER(E349),E349-IF(ISNUMBER(F349),F349,0),"")</f>
        <v/>
      </c>
      <c r="H349" s="51" t="n"/>
      <c r="I349" s="50">
        <f>IF(AND(ISNUMBER(G349),ISNUMBER(H349)),H349-G349,"")</f>
        <v/>
      </c>
      <c r="J349" s="50">
        <f>IF(ISNUMBER(I349),ABS(I349),"")</f>
        <v/>
      </c>
      <c r="K349" s="52">
        <f>IF(ISNUMBER(I349),I349^2,"")</f>
        <v/>
      </c>
    </row>
    <row r="350" ht="15" customHeight="1" s="32">
      <c r="A350" s="41" t="inlineStr">
        <is>
          <t>wrist</t>
        </is>
      </c>
      <c r="B350" s="41" t="n">
        <v>3</v>
      </c>
      <c r="C350" s="41" t="inlineStr">
        <is>
          <t>up</t>
        </is>
      </c>
      <c r="D350" s="41" t="n">
        <v>-80</v>
      </c>
      <c r="E350" s="48" t="n"/>
      <c r="F350" s="48" t="n"/>
      <c r="G350" s="50">
        <f>IF(ISNUMBER(E350),E350-IF(ISNUMBER(F350),F350,0),"")</f>
        <v/>
      </c>
      <c r="H350" s="51" t="n"/>
      <c r="I350" s="50">
        <f>IF(AND(ISNUMBER(G350),ISNUMBER(H350)),H350-G350,"")</f>
        <v/>
      </c>
      <c r="J350" s="50">
        <f>IF(ISNUMBER(I350),ABS(I350),"")</f>
        <v/>
      </c>
      <c r="K350" s="52">
        <f>IF(ISNUMBER(I350),I350^2,"")</f>
        <v/>
      </c>
    </row>
    <row r="351" ht="15" customHeight="1" s="32">
      <c r="A351" s="41" t="inlineStr">
        <is>
          <t>wrist</t>
        </is>
      </c>
      <c r="B351" s="41" t="n">
        <v>3</v>
      </c>
      <c r="C351" s="41" t="inlineStr">
        <is>
          <t>up</t>
        </is>
      </c>
      <c r="D351" s="41" t="n">
        <v>-70</v>
      </c>
      <c r="E351" s="48" t="n"/>
      <c r="F351" s="48" t="n"/>
      <c r="G351" s="50">
        <f>IF(ISNUMBER(E351),E351-IF(ISNUMBER(F351),F351,0),"")</f>
        <v/>
      </c>
      <c r="H351" s="51" t="n"/>
      <c r="I351" s="50">
        <f>IF(AND(ISNUMBER(G351),ISNUMBER(H351)),H351-G351,"")</f>
        <v/>
      </c>
      <c r="J351" s="50">
        <f>IF(ISNUMBER(I351),ABS(I351),"")</f>
        <v/>
      </c>
      <c r="K351" s="52">
        <f>IF(ISNUMBER(I351),I351^2,"")</f>
        <v/>
      </c>
    </row>
    <row r="352" ht="15" customHeight="1" s="32">
      <c r="A352" s="41" t="inlineStr">
        <is>
          <t>wrist</t>
        </is>
      </c>
      <c r="B352" s="41" t="n">
        <v>3</v>
      </c>
      <c r="C352" s="41" t="inlineStr">
        <is>
          <t>up</t>
        </is>
      </c>
      <c r="D352" s="41" t="n">
        <v>-60</v>
      </c>
      <c r="E352" s="48" t="n"/>
      <c r="F352" s="48" t="n"/>
      <c r="G352" s="50">
        <f>IF(ISNUMBER(E352),E352-IF(ISNUMBER(F352),F352,0),"")</f>
        <v/>
      </c>
      <c r="H352" s="51" t="n"/>
      <c r="I352" s="50">
        <f>IF(AND(ISNUMBER(G352),ISNUMBER(H352)),H352-G352,"")</f>
        <v/>
      </c>
      <c r="J352" s="50">
        <f>IF(ISNUMBER(I352),ABS(I352),"")</f>
        <v/>
      </c>
      <c r="K352" s="52">
        <f>IF(ISNUMBER(I352),I352^2,"")</f>
        <v/>
      </c>
    </row>
    <row r="353" ht="15" customHeight="1" s="32">
      <c r="A353" s="41" t="inlineStr">
        <is>
          <t>wrist</t>
        </is>
      </c>
      <c r="B353" s="41" t="n">
        <v>3</v>
      </c>
      <c r="C353" s="41" t="inlineStr">
        <is>
          <t>up</t>
        </is>
      </c>
      <c r="D353" s="41" t="n">
        <v>-50</v>
      </c>
      <c r="E353" s="48" t="n"/>
      <c r="F353" s="48" t="n"/>
      <c r="G353" s="50">
        <f>IF(ISNUMBER(E353),E353-IF(ISNUMBER(F353),F353,0),"")</f>
        <v/>
      </c>
      <c r="H353" s="51" t="n"/>
      <c r="I353" s="50">
        <f>IF(AND(ISNUMBER(G353),ISNUMBER(H353)),H353-G353,"")</f>
        <v/>
      </c>
      <c r="J353" s="50">
        <f>IF(ISNUMBER(I353),ABS(I353),"")</f>
        <v/>
      </c>
      <c r="K353" s="52">
        <f>IF(ISNUMBER(I353),I353^2,"")</f>
        <v/>
      </c>
    </row>
    <row r="354" ht="15" customHeight="1" s="32">
      <c r="A354" s="41" t="inlineStr">
        <is>
          <t>wrist</t>
        </is>
      </c>
      <c r="B354" s="41" t="n">
        <v>3</v>
      </c>
      <c r="C354" s="41" t="inlineStr">
        <is>
          <t>up</t>
        </is>
      </c>
      <c r="D354" s="41" t="n">
        <v>-40</v>
      </c>
      <c r="E354" s="48" t="n"/>
      <c r="F354" s="48" t="n"/>
      <c r="G354" s="50">
        <f>IF(ISNUMBER(E354),E354-IF(ISNUMBER(F354),F354,0),"")</f>
        <v/>
      </c>
      <c r="H354" s="51" t="n"/>
      <c r="I354" s="50">
        <f>IF(AND(ISNUMBER(G354),ISNUMBER(H354)),H354-G354,"")</f>
        <v/>
      </c>
      <c r="J354" s="50">
        <f>IF(ISNUMBER(I354),ABS(I354),"")</f>
        <v/>
      </c>
      <c r="K354" s="52">
        <f>IF(ISNUMBER(I354),I354^2,"")</f>
        <v/>
      </c>
    </row>
    <row r="355" ht="15" customHeight="1" s="32">
      <c r="A355" s="41" t="inlineStr">
        <is>
          <t>wrist</t>
        </is>
      </c>
      <c r="B355" s="41" t="n">
        <v>3</v>
      </c>
      <c r="C355" s="41" t="inlineStr">
        <is>
          <t>up</t>
        </is>
      </c>
      <c r="D355" s="41" t="n">
        <v>-30</v>
      </c>
      <c r="E355" s="48" t="n"/>
      <c r="F355" s="48" t="n"/>
      <c r="G355" s="50">
        <f>IF(ISNUMBER(E355),E355-IF(ISNUMBER(F355),F355,0),"")</f>
        <v/>
      </c>
      <c r="H355" s="51" t="n"/>
      <c r="I355" s="50">
        <f>IF(AND(ISNUMBER(G355),ISNUMBER(H355)),H355-G355,"")</f>
        <v/>
      </c>
      <c r="J355" s="50">
        <f>IF(ISNUMBER(I355),ABS(I355),"")</f>
        <v/>
      </c>
      <c r="K355" s="52">
        <f>IF(ISNUMBER(I355),I355^2,"")</f>
        <v/>
      </c>
    </row>
    <row r="356" ht="15" customHeight="1" s="32">
      <c r="A356" s="41" t="inlineStr">
        <is>
          <t>wrist</t>
        </is>
      </c>
      <c r="B356" s="41" t="n">
        <v>3</v>
      </c>
      <c r="C356" s="41" t="inlineStr">
        <is>
          <t>up</t>
        </is>
      </c>
      <c r="D356" s="41" t="n">
        <v>-20</v>
      </c>
      <c r="E356" s="48" t="n"/>
      <c r="F356" s="48" t="n"/>
      <c r="G356" s="50">
        <f>IF(ISNUMBER(E356),E356-IF(ISNUMBER(F356),F356,0),"")</f>
        <v/>
      </c>
      <c r="H356" s="51" t="n"/>
      <c r="I356" s="50">
        <f>IF(AND(ISNUMBER(G356),ISNUMBER(H356)),H356-G356,"")</f>
        <v/>
      </c>
      <c r="J356" s="50">
        <f>IF(ISNUMBER(I356),ABS(I356),"")</f>
        <v/>
      </c>
      <c r="K356" s="52">
        <f>IF(ISNUMBER(I356),I356^2,"")</f>
        <v/>
      </c>
    </row>
    <row r="357" ht="15" customHeight="1" s="32">
      <c r="A357" s="41" t="inlineStr">
        <is>
          <t>wrist</t>
        </is>
      </c>
      <c r="B357" s="41" t="n">
        <v>3</v>
      </c>
      <c r="C357" s="41" t="inlineStr">
        <is>
          <t>up</t>
        </is>
      </c>
      <c r="D357" s="41" t="n">
        <v>-10</v>
      </c>
      <c r="E357" s="48" t="n"/>
      <c r="F357" s="48" t="n"/>
      <c r="G357" s="50">
        <f>IF(ISNUMBER(E357),E357-IF(ISNUMBER(F357),F357,0),"")</f>
        <v/>
      </c>
      <c r="H357" s="51" t="n"/>
      <c r="I357" s="50">
        <f>IF(AND(ISNUMBER(G357),ISNUMBER(H357)),H357-G357,"")</f>
        <v/>
      </c>
      <c r="J357" s="50">
        <f>IF(ISNUMBER(I357),ABS(I357),"")</f>
        <v/>
      </c>
      <c r="K357" s="52">
        <f>IF(ISNUMBER(I357),I357^2,"")</f>
        <v/>
      </c>
    </row>
    <row r="358" ht="15" customHeight="1" s="32">
      <c r="A358" s="41" t="inlineStr">
        <is>
          <t>wrist</t>
        </is>
      </c>
      <c r="B358" s="41" t="n">
        <v>3</v>
      </c>
      <c r="C358" s="41" t="inlineStr">
        <is>
          <t>up</t>
        </is>
      </c>
      <c r="D358" s="41" t="n">
        <v>0</v>
      </c>
      <c r="E358" s="48" t="n"/>
      <c r="F358" s="48" t="n"/>
      <c r="G358" s="50">
        <f>IF(ISNUMBER(E358),E358-IF(ISNUMBER(F358),F358,0),"")</f>
        <v/>
      </c>
      <c r="H358" s="51" t="n"/>
      <c r="I358" s="50">
        <f>IF(AND(ISNUMBER(G358),ISNUMBER(H358)),H358-G358,"")</f>
        <v/>
      </c>
      <c r="J358" s="50">
        <f>IF(ISNUMBER(I358),ABS(I358),"")</f>
        <v/>
      </c>
      <c r="K358" s="52">
        <f>IF(ISNUMBER(I358),I358^2,"")</f>
        <v/>
      </c>
    </row>
    <row r="359" ht="15" customHeight="1" s="32">
      <c r="A359" s="41" t="inlineStr">
        <is>
          <t>wrist</t>
        </is>
      </c>
      <c r="B359" s="41" t="n">
        <v>3</v>
      </c>
      <c r="C359" s="41" t="inlineStr">
        <is>
          <t>up</t>
        </is>
      </c>
      <c r="D359" s="41" t="n">
        <v>10</v>
      </c>
      <c r="E359" s="48" t="n"/>
      <c r="F359" s="48" t="n"/>
      <c r="G359" s="50">
        <f>IF(ISNUMBER(E359),E359-IF(ISNUMBER(F359),F359,0),"")</f>
        <v/>
      </c>
      <c r="H359" s="51" t="n"/>
      <c r="I359" s="50">
        <f>IF(AND(ISNUMBER(G359),ISNUMBER(H359)),H359-G359,"")</f>
        <v/>
      </c>
      <c r="J359" s="50">
        <f>IF(ISNUMBER(I359),ABS(I359),"")</f>
        <v/>
      </c>
      <c r="K359" s="52">
        <f>IF(ISNUMBER(I359),I359^2,"")</f>
        <v/>
      </c>
    </row>
    <row r="360" ht="15" customHeight="1" s="32">
      <c r="A360" s="41" t="inlineStr">
        <is>
          <t>wrist</t>
        </is>
      </c>
      <c r="B360" s="41" t="n">
        <v>3</v>
      </c>
      <c r="C360" s="41" t="inlineStr">
        <is>
          <t>up</t>
        </is>
      </c>
      <c r="D360" s="41" t="n">
        <v>20</v>
      </c>
      <c r="E360" s="48" t="n"/>
      <c r="F360" s="48" t="n"/>
      <c r="G360" s="50">
        <f>IF(ISNUMBER(E360),E360-IF(ISNUMBER(F360),F360,0),"")</f>
        <v/>
      </c>
      <c r="H360" s="51" t="n"/>
      <c r="I360" s="50">
        <f>IF(AND(ISNUMBER(G360),ISNUMBER(H360)),H360-G360,"")</f>
        <v/>
      </c>
      <c r="J360" s="50">
        <f>IF(ISNUMBER(I360),ABS(I360),"")</f>
        <v/>
      </c>
      <c r="K360" s="52">
        <f>IF(ISNUMBER(I360),I360^2,"")</f>
        <v/>
      </c>
    </row>
    <row r="361" ht="15" customHeight="1" s="32">
      <c r="A361" s="41" t="inlineStr">
        <is>
          <t>wrist</t>
        </is>
      </c>
      <c r="B361" s="41" t="n">
        <v>3</v>
      </c>
      <c r="C361" s="41" t="inlineStr">
        <is>
          <t>up</t>
        </is>
      </c>
      <c r="D361" s="41" t="n">
        <v>30</v>
      </c>
      <c r="E361" s="48" t="n"/>
      <c r="F361" s="48" t="n"/>
      <c r="G361" s="50">
        <f>IF(ISNUMBER(E361),E361-IF(ISNUMBER(F361),F361,0),"")</f>
        <v/>
      </c>
      <c r="H361" s="51" t="n"/>
      <c r="I361" s="50">
        <f>IF(AND(ISNUMBER(G361),ISNUMBER(H361)),H361-G361,"")</f>
        <v/>
      </c>
      <c r="J361" s="50">
        <f>IF(ISNUMBER(I361),ABS(I361),"")</f>
        <v/>
      </c>
      <c r="K361" s="52">
        <f>IF(ISNUMBER(I361),I361^2,"")</f>
        <v/>
      </c>
    </row>
    <row r="362" ht="15" customHeight="1" s="32">
      <c r="A362" s="41" t="inlineStr">
        <is>
          <t>wrist</t>
        </is>
      </c>
      <c r="B362" s="41" t="n">
        <v>3</v>
      </c>
      <c r="C362" s="41" t="inlineStr">
        <is>
          <t>up</t>
        </is>
      </c>
      <c r="D362" s="41" t="n">
        <v>40</v>
      </c>
      <c r="E362" s="48" t="n"/>
      <c r="F362" s="48" t="n"/>
      <c r="G362" s="50">
        <f>IF(ISNUMBER(E362),E362-IF(ISNUMBER(F362),F362,0),"")</f>
        <v/>
      </c>
      <c r="H362" s="51" t="n"/>
      <c r="I362" s="50">
        <f>IF(AND(ISNUMBER(G362),ISNUMBER(H362)),H362-G362,"")</f>
        <v/>
      </c>
      <c r="J362" s="50">
        <f>IF(ISNUMBER(I362),ABS(I362),"")</f>
        <v/>
      </c>
      <c r="K362" s="52">
        <f>IF(ISNUMBER(I362),I362^2,"")</f>
        <v/>
      </c>
    </row>
    <row r="363" ht="15" customHeight="1" s="32">
      <c r="A363" s="41" t="inlineStr">
        <is>
          <t>wrist</t>
        </is>
      </c>
      <c r="B363" s="41" t="n">
        <v>3</v>
      </c>
      <c r="C363" s="41" t="inlineStr">
        <is>
          <t>up</t>
        </is>
      </c>
      <c r="D363" s="41" t="n">
        <v>50</v>
      </c>
      <c r="E363" s="48" t="n"/>
      <c r="F363" s="48" t="n"/>
      <c r="G363" s="50">
        <f>IF(ISNUMBER(E363),E363-IF(ISNUMBER(F363),F363,0),"")</f>
        <v/>
      </c>
      <c r="H363" s="51" t="n"/>
      <c r="I363" s="50">
        <f>IF(AND(ISNUMBER(G363),ISNUMBER(H363)),H363-G363,"")</f>
        <v/>
      </c>
      <c r="J363" s="50">
        <f>IF(ISNUMBER(I363),ABS(I363),"")</f>
        <v/>
      </c>
      <c r="K363" s="52">
        <f>IF(ISNUMBER(I363),I363^2,"")</f>
        <v/>
      </c>
    </row>
    <row r="364" ht="15" customHeight="1" s="32">
      <c r="A364" s="41" t="inlineStr">
        <is>
          <t>wrist</t>
        </is>
      </c>
      <c r="B364" s="41" t="n">
        <v>3</v>
      </c>
      <c r="C364" s="41" t="inlineStr">
        <is>
          <t>up</t>
        </is>
      </c>
      <c r="D364" s="41" t="n">
        <v>60</v>
      </c>
      <c r="E364" s="48" t="n"/>
      <c r="F364" s="48" t="n"/>
      <c r="G364" s="50">
        <f>IF(ISNUMBER(E364),E364-IF(ISNUMBER(F364),F364,0),"")</f>
        <v/>
      </c>
      <c r="H364" s="51" t="n"/>
      <c r="I364" s="50">
        <f>IF(AND(ISNUMBER(G364),ISNUMBER(H364)),H364-G364,"")</f>
        <v/>
      </c>
      <c r="J364" s="50">
        <f>IF(ISNUMBER(I364),ABS(I364),"")</f>
        <v/>
      </c>
      <c r="K364" s="52">
        <f>IF(ISNUMBER(I364),I364^2,"")</f>
        <v/>
      </c>
    </row>
    <row r="365" ht="15" customHeight="1" s="32">
      <c r="A365" s="41" t="inlineStr">
        <is>
          <t>wrist</t>
        </is>
      </c>
      <c r="B365" s="41" t="n">
        <v>3</v>
      </c>
      <c r="C365" s="41" t="inlineStr">
        <is>
          <t>up</t>
        </is>
      </c>
      <c r="D365" s="41" t="n">
        <v>70</v>
      </c>
      <c r="E365" s="48" t="n"/>
      <c r="F365" s="48" t="n"/>
      <c r="G365" s="50">
        <f>IF(ISNUMBER(E365),E365-IF(ISNUMBER(F365),F365,0),"")</f>
        <v/>
      </c>
      <c r="H365" s="51" t="n"/>
      <c r="I365" s="50">
        <f>IF(AND(ISNUMBER(G365),ISNUMBER(H365)),H365-G365,"")</f>
        <v/>
      </c>
      <c r="J365" s="50">
        <f>IF(ISNUMBER(I365),ABS(I365),"")</f>
        <v/>
      </c>
      <c r="K365" s="52">
        <f>IF(ISNUMBER(I365),I365^2,"")</f>
        <v/>
      </c>
    </row>
    <row r="366" ht="15" customHeight="1" s="32">
      <c r="A366" s="41" t="inlineStr">
        <is>
          <t>wrist</t>
        </is>
      </c>
      <c r="B366" s="41" t="n">
        <v>3</v>
      </c>
      <c r="C366" s="41" t="inlineStr">
        <is>
          <t>up</t>
        </is>
      </c>
      <c r="D366" s="41" t="n">
        <v>80</v>
      </c>
      <c r="E366" s="48" t="n"/>
      <c r="F366" s="48" t="n"/>
      <c r="G366" s="50">
        <f>IF(ISNUMBER(E366),E366-IF(ISNUMBER(F366),F366,0),"")</f>
        <v/>
      </c>
      <c r="H366" s="51" t="n"/>
      <c r="I366" s="50">
        <f>IF(AND(ISNUMBER(G366),ISNUMBER(H366)),H366-G366,"")</f>
        <v/>
      </c>
      <c r="J366" s="50">
        <f>IF(ISNUMBER(I366),ABS(I366),"")</f>
        <v/>
      </c>
      <c r="K366" s="52">
        <f>IF(ISNUMBER(I366),I366^2,"")</f>
        <v/>
      </c>
    </row>
    <row r="367" ht="15" customHeight="1" s="32">
      <c r="A367" s="41" t="inlineStr">
        <is>
          <t>wrist</t>
        </is>
      </c>
      <c r="B367" s="41" t="n">
        <v>3</v>
      </c>
      <c r="C367" s="41" t="inlineStr">
        <is>
          <t>up</t>
        </is>
      </c>
      <c r="D367" s="41" t="n">
        <v>90</v>
      </c>
      <c r="E367" s="48" t="n"/>
      <c r="F367" s="48" t="n"/>
      <c r="G367" s="50">
        <f>IF(ISNUMBER(E367),E367-IF(ISNUMBER(F367),F367,0),"")</f>
        <v/>
      </c>
      <c r="H367" s="51" t="n"/>
      <c r="I367" s="50">
        <f>IF(AND(ISNUMBER(G367),ISNUMBER(H367)),H367-G367,"")</f>
        <v/>
      </c>
      <c r="J367" s="50">
        <f>IF(ISNUMBER(I367),ABS(I367),"")</f>
        <v/>
      </c>
      <c r="K367" s="52">
        <f>IF(ISNUMBER(I367),I367^2,"")</f>
        <v/>
      </c>
    </row>
    <row r="368" ht="15" customHeight="1" s="32">
      <c r="A368" s="41" t="inlineStr">
        <is>
          <t>wrist</t>
        </is>
      </c>
      <c r="B368" s="41" t="n">
        <v>3</v>
      </c>
      <c r="C368" s="41" t="inlineStr">
        <is>
          <t>down</t>
        </is>
      </c>
      <c r="D368" s="41" t="n">
        <v>90</v>
      </c>
      <c r="E368" s="48" t="n"/>
      <c r="F368" s="48" t="n"/>
      <c r="G368" s="50">
        <f>IF(ISNUMBER(E368),E368-IF(ISNUMBER(F368),F368,0),"")</f>
        <v/>
      </c>
      <c r="H368" s="51" t="n"/>
      <c r="I368" s="50">
        <f>IF(AND(ISNUMBER(G368),ISNUMBER(H368)),H368-G368,"")</f>
        <v/>
      </c>
      <c r="J368" s="50">
        <f>IF(ISNUMBER(I368),ABS(I368),"")</f>
        <v/>
      </c>
      <c r="K368" s="52">
        <f>IF(ISNUMBER(I368),I368^2,"")</f>
        <v/>
      </c>
    </row>
    <row r="369" ht="15" customHeight="1" s="32">
      <c r="A369" s="41" t="inlineStr">
        <is>
          <t>wrist</t>
        </is>
      </c>
      <c r="B369" s="41" t="n">
        <v>3</v>
      </c>
      <c r="C369" s="41" t="inlineStr">
        <is>
          <t>down</t>
        </is>
      </c>
      <c r="D369" s="41" t="n">
        <v>80</v>
      </c>
      <c r="E369" s="48" t="n"/>
      <c r="F369" s="48" t="n"/>
      <c r="G369" s="50">
        <f>IF(ISNUMBER(E369),E369-IF(ISNUMBER(F369),F369,0),"")</f>
        <v/>
      </c>
      <c r="H369" s="51" t="n"/>
      <c r="I369" s="50">
        <f>IF(AND(ISNUMBER(G369),ISNUMBER(H369)),H369-G369,"")</f>
        <v/>
      </c>
      <c r="J369" s="50">
        <f>IF(ISNUMBER(I369),ABS(I369),"")</f>
        <v/>
      </c>
      <c r="K369" s="52">
        <f>IF(ISNUMBER(I369),I369^2,"")</f>
        <v/>
      </c>
    </row>
    <row r="370" ht="15" customHeight="1" s="32">
      <c r="A370" s="41" t="inlineStr">
        <is>
          <t>wrist</t>
        </is>
      </c>
      <c r="B370" s="41" t="n">
        <v>3</v>
      </c>
      <c r="C370" s="41" t="inlineStr">
        <is>
          <t>down</t>
        </is>
      </c>
      <c r="D370" s="41" t="n">
        <v>70</v>
      </c>
      <c r="E370" s="48" t="n"/>
      <c r="F370" s="48" t="n"/>
      <c r="G370" s="50">
        <f>IF(ISNUMBER(E370),E370-IF(ISNUMBER(F370),F370,0),"")</f>
        <v/>
      </c>
      <c r="H370" s="51" t="n"/>
      <c r="I370" s="50">
        <f>IF(AND(ISNUMBER(G370),ISNUMBER(H370)),H370-G370,"")</f>
        <v/>
      </c>
      <c r="J370" s="50">
        <f>IF(ISNUMBER(I370),ABS(I370),"")</f>
        <v/>
      </c>
      <c r="K370" s="52">
        <f>IF(ISNUMBER(I370),I370^2,"")</f>
        <v/>
      </c>
    </row>
    <row r="371" ht="15" customHeight="1" s="32">
      <c r="A371" s="41" t="inlineStr">
        <is>
          <t>wrist</t>
        </is>
      </c>
      <c r="B371" s="41" t="n">
        <v>3</v>
      </c>
      <c r="C371" s="41" t="inlineStr">
        <is>
          <t>down</t>
        </is>
      </c>
      <c r="D371" s="41" t="n">
        <v>60</v>
      </c>
      <c r="E371" s="48" t="n"/>
      <c r="F371" s="48" t="n"/>
      <c r="G371" s="50">
        <f>IF(ISNUMBER(E371),E371-IF(ISNUMBER(F371),F371,0),"")</f>
        <v/>
      </c>
      <c r="H371" s="51" t="n"/>
      <c r="I371" s="50">
        <f>IF(AND(ISNUMBER(G371),ISNUMBER(H371)),H371-G371,"")</f>
        <v/>
      </c>
      <c r="J371" s="50">
        <f>IF(ISNUMBER(I371),ABS(I371),"")</f>
        <v/>
      </c>
      <c r="K371" s="52">
        <f>IF(ISNUMBER(I371),I371^2,"")</f>
        <v/>
      </c>
    </row>
    <row r="372" ht="15" customHeight="1" s="32">
      <c r="A372" s="41" t="inlineStr">
        <is>
          <t>wrist</t>
        </is>
      </c>
      <c r="B372" s="41" t="n">
        <v>3</v>
      </c>
      <c r="C372" s="41" t="inlineStr">
        <is>
          <t>down</t>
        </is>
      </c>
      <c r="D372" s="41" t="n">
        <v>50</v>
      </c>
      <c r="E372" s="48" t="n"/>
      <c r="F372" s="48" t="n"/>
      <c r="G372" s="50">
        <f>IF(ISNUMBER(E372),E372-IF(ISNUMBER(F372),F372,0),"")</f>
        <v/>
      </c>
      <c r="H372" s="51" t="n"/>
      <c r="I372" s="50">
        <f>IF(AND(ISNUMBER(G372),ISNUMBER(H372)),H372-G372,"")</f>
        <v/>
      </c>
      <c r="J372" s="50">
        <f>IF(ISNUMBER(I372),ABS(I372),"")</f>
        <v/>
      </c>
      <c r="K372" s="52">
        <f>IF(ISNUMBER(I372),I372^2,"")</f>
        <v/>
      </c>
    </row>
    <row r="373" ht="15" customHeight="1" s="32">
      <c r="A373" s="41" t="inlineStr">
        <is>
          <t>wrist</t>
        </is>
      </c>
      <c r="B373" s="41" t="n">
        <v>3</v>
      </c>
      <c r="C373" s="41" t="inlineStr">
        <is>
          <t>down</t>
        </is>
      </c>
      <c r="D373" s="41" t="n">
        <v>40</v>
      </c>
      <c r="E373" s="48" t="n"/>
      <c r="F373" s="48" t="n"/>
      <c r="G373" s="50">
        <f>IF(ISNUMBER(E373),E373-IF(ISNUMBER(F373),F373,0),"")</f>
        <v/>
      </c>
      <c r="H373" s="51" t="n"/>
      <c r="I373" s="50">
        <f>IF(AND(ISNUMBER(G373),ISNUMBER(H373)),H373-G373,"")</f>
        <v/>
      </c>
      <c r="J373" s="50">
        <f>IF(ISNUMBER(I373),ABS(I373),"")</f>
        <v/>
      </c>
      <c r="K373" s="52">
        <f>IF(ISNUMBER(I373),I373^2,"")</f>
        <v/>
      </c>
    </row>
    <row r="374" ht="15" customHeight="1" s="32">
      <c r="A374" s="41" t="inlineStr">
        <is>
          <t>wrist</t>
        </is>
      </c>
      <c r="B374" s="41" t="n">
        <v>3</v>
      </c>
      <c r="C374" s="41" t="inlineStr">
        <is>
          <t>down</t>
        </is>
      </c>
      <c r="D374" s="41" t="n">
        <v>30</v>
      </c>
      <c r="E374" s="48" t="n"/>
      <c r="F374" s="48" t="n"/>
      <c r="G374" s="50">
        <f>IF(ISNUMBER(E374),E374-IF(ISNUMBER(F374),F374,0),"")</f>
        <v/>
      </c>
      <c r="H374" s="51" t="n"/>
      <c r="I374" s="50">
        <f>IF(AND(ISNUMBER(G374),ISNUMBER(H374)),H374-G374,"")</f>
        <v/>
      </c>
      <c r="J374" s="50">
        <f>IF(ISNUMBER(I374),ABS(I374),"")</f>
        <v/>
      </c>
      <c r="K374" s="52">
        <f>IF(ISNUMBER(I374),I374^2,"")</f>
        <v/>
      </c>
    </row>
    <row r="375" ht="15" customHeight="1" s="32">
      <c r="A375" s="41" t="inlineStr">
        <is>
          <t>wrist</t>
        </is>
      </c>
      <c r="B375" s="41" t="n">
        <v>3</v>
      </c>
      <c r="C375" s="41" t="inlineStr">
        <is>
          <t>down</t>
        </is>
      </c>
      <c r="D375" s="41" t="n">
        <v>20</v>
      </c>
      <c r="E375" s="48" t="n"/>
      <c r="F375" s="48" t="n"/>
      <c r="G375" s="50">
        <f>IF(ISNUMBER(E375),E375-IF(ISNUMBER(F375),F375,0),"")</f>
        <v/>
      </c>
      <c r="H375" s="51" t="n"/>
      <c r="I375" s="50">
        <f>IF(AND(ISNUMBER(G375),ISNUMBER(H375)),H375-G375,"")</f>
        <v/>
      </c>
      <c r="J375" s="50">
        <f>IF(ISNUMBER(I375),ABS(I375),"")</f>
        <v/>
      </c>
      <c r="K375" s="52">
        <f>IF(ISNUMBER(I375),I375^2,"")</f>
        <v/>
      </c>
    </row>
    <row r="376" ht="15" customHeight="1" s="32">
      <c r="A376" s="41" t="inlineStr">
        <is>
          <t>wrist</t>
        </is>
      </c>
      <c r="B376" s="41" t="n">
        <v>3</v>
      </c>
      <c r="C376" s="41" t="inlineStr">
        <is>
          <t>down</t>
        </is>
      </c>
      <c r="D376" s="41" t="n">
        <v>10</v>
      </c>
      <c r="E376" s="48" t="n"/>
      <c r="F376" s="48" t="n"/>
      <c r="G376" s="50">
        <f>IF(ISNUMBER(E376),E376-IF(ISNUMBER(F376),F376,0),"")</f>
        <v/>
      </c>
      <c r="H376" s="51" t="n"/>
      <c r="I376" s="50">
        <f>IF(AND(ISNUMBER(G376),ISNUMBER(H376)),H376-G376,"")</f>
        <v/>
      </c>
      <c r="J376" s="50">
        <f>IF(ISNUMBER(I376),ABS(I376),"")</f>
        <v/>
      </c>
      <c r="K376" s="52">
        <f>IF(ISNUMBER(I376),I376^2,"")</f>
        <v/>
      </c>
    </row>
    <row r="377" ht="15" customHeight="1" s="32">
      <c r="A377" s="41" t="inlineStr">
        <is>
          <t>wrist</t>
        </is>
      </c>
      <c r="B377" s="41" t="n">
        <v>3</v>
      </c>
      <c r="C377" s="41" t="inlineStr">
        <is>
          <t>down</t>
        </is>
      </c>
      <c r="D377" s="41" t="n">
        <v>0</v>
      </c>
      <c r="E377" s="48" t="n"/>
      <c r="F377" s="48" t="n"/>
      <c r="G377" s="50">
        <f>IF(ISNUMBER(E377),E377-IF(ISNUMBER(F377),F377,0),"")</f>
        <v/>
      </c>
      <c r="H377" s="51" t="n"/>
      <c r="I377" s="50">
        <f>IF(AND(ISNUMBER(G377),ISNUMBER(H377)),H377-G377,"")</f>
        <v/>
      </c>
      <c r="J377" s="50">
        <f>IF(ISNUMBER(I377),ABS(I377),"")</f>
        <v/>
      </c>
      <c r="K377" s="52">
        <f>IF(ISNUMBER(I377),I377^2,"")</f>
        <v/>
      </c>
    </row>
    <row r="378" ht="15" customHeight="1" s="32">
      <c r="A378" s="41" t="inlineStr">
        <is>
          <t>wrist</t>
        </is>
      </c>
      <c r="B378" s="41" t="n">
        <v>3</v>
      </c>
      <c r="C378" s="41" t="inlineStr">
        <is>
          <t>down</t>
        </is>
      </c>
      <c r="D378" s="41" t="n">
        <v>-10</v>
      </c>
      <c r="E378" s="48" t="n"/>
      <c r="F378" s="48" t="n"/>
      <c r="G378" s="50">
        <f>IF(ISNUMBER(E378),E378-IF(ISNUMBER(F378),F378,0),"")</f>
        <v/>
      </c>
      <c r="H378" s="51" t="n"/>
      <c r="I378" s="50">
        <f>IF(AND(ISNUMBER(G378),ISNUMBER(H378)),H378-G378,"")</f>
        <v/>
      </c>
      <c r="J378" s="50">
        <f>IF(ISNUMBER(I378),ABS(I378),"")</f>
        <v/>
      </c>
      <c r="K378" s="52">
        <f>IF(ISNUMBER(I378),I378^2,"")</f>
        <v/>
      </c>
    </row>
    <row r="379" ht="15" customHeight="1" s="32">
      <c r="A379" s="41" t="inlineStr">
        <is>
          <t>wrist</t>
        </is>
      </c>
      <c r="B379" s="41" t="n">
        <v>3</v>
      </c>
      <c r="C379" s="41" t="inlineStr">
        <is>
          <t>down</t>
        </is>
      </c>
      <c r="D379" s="41" t="n">
        <v>-20</v>
      </c>
      <c r="E379" s="48" t="n"/>
      <c r="F379" s="48" t="n"/>
      <c r="G379" s="50">
        <f>IF(ISNUMBER(E379),E379-IF(ISNUMBER(F379),F379,0),"")</f>
        <v/>
      </c>
      <c r="H379" s="51" t="n"/>
      <c r="I379" s="50">
        <f>IF(AND(ISNUMBER(G379),ISNUMBER(H379)),H379-G379,"")</f>
        <v/>
      </c>
      <c r="J379" s="50">
        <f>IF(ISNUMBER(I379),ABS(I379),"")</f>
        <v/>
      </c>
      <c r="K379" s="52">
        <f>IF(ISNUMBER(I379),I379^2,"")</f>
        <v/>
      </c>
    </row>
    <row r="380" ht="15" customHeight="1" s="32">
      <c r="A380" s="41" t="inlineStr">
        <is>
          <t>wrist</t>
        </is>
      </c>
      <c r="B380" s="41" t="n">
        <v>3</v>
      </c>
      <c r="C380" s="41" t="inlineStr">
        <is>
          <t>down</t>
        </is>
      </c>
      <c r="D380" s="41" t="n">
        <v>-30</v>
      </c>
      <c r="E380" s="48" t="n"/>
      <c r="F380" s="48" t="n"/>
      <c r="G380" s="50">
        <f>IF(ISNUMBER(E380),E380-IF(ISNUMBER(F380),F380,0),"")</f>
        <v/>
      </c>
      <c r="H380" s="51" t="n"/>
      <c r="I380" s="50">
        <f>IF(AND(ISNUMBER(G380),ISNUMBER(H380)),H380-G380,"")</f>
        <v/>
      </c>
      <c r="J380" s="50">
        <f>IF(ISNUMBER(I380),ABS(I380),"")</f>
        <v/>
      </c>
      <c r="K380" s="52">
        <f>IF(ISNUMBER(I380),I380^2,"")</f>
        <v/>
      </c>
    </row>
    <row r="381" ht="15" customHeight="1" s="32">
      <c r="A381" s="41" t="inlineStr">
        <is>
          <t>wrist</t>
        </is>
      </c>
      <c r="B381" s="41" t="n">
        <v>3</v>
      </c>
      <c r="C381" s="41" t="inlineStr">
        <is>
          <t>down</t>
        </is>
      </c>
      <c r="D381" s="41" t="n">
        <v>-40</v>
      </c>
      <c r="E381" s="48" t="n"/>
      <c r="F381" s="48" t="n"/>
      <c r="G381" s="50">
        <f>IF(ISNUMBER(E381),E381-IF(ISNUMBER(F381),F381,0),"")</f>
        <v/>
      </c>
      <c r="H381" s="51" t="n"/>
      <c r="I381" s="50">
        <f>IF(AND(ISNUMBER(G381),ISNUMBER(H381)),H381-G381,"")</f>
        <v/>
      </c>
      <c r="J381" s="50">
        <f>IF(ISNUMBER(I381),ABS(I381),"")</f>
        <v/>
      </c>
      <c r="K381" s="52">
        <f>IF(ISNUMBER(I381),I381^2,"")</f>
        <v/>
      </c>
    </row>
    <row r="382" ht="15" customHeight="1" s="32">
      <c r="A382" s="41" t="inlineStr">
        <is>
          <t>wrist</t>
        </is>
      </c>
      <c r="B382" s="41" t="n">
        <v>3</v>
      </c>
      <c r="C382" s="41" t="inlineStr">
        <is>
          <t>down</t>
        </is>
      </c>
      <c r="D382" s="41" t="n">
        <v>-50</v>
      </c>
      <c r="E382" s="48" t="n"/>
      <c r="F382" s="48" t="n"/>
      <c r="G382" s="50">
        <f>IF(ISNUMBER(E382),E382-IF(ISNUMBER(F382),F382,0),"")</f>
        <v/>
      </c>
      <c r="H382" s="51" t="n"/>
      <c r="I382" s="50">
        <f>IF(AND(ISNUMBER(G382),ISNUMBER(H382)),H382-G382,"")</f>
        <v/>
      </c>
      <c r="J382" s="50">
        <f>IF(ISNUMBER(I382),ABS(I382),"")</f>
        <v/>
      </c>
      <c r="K382" s="52">
        <f>IF(ISNUMBER(I382),I382^2,"")</f>
        <v/>
      </c>
    </row>
    <row r="383" ht="15" customHeight="1" s="32">
      <c r="A383" s="41" t="inlineStr">
        <is>
          <t>wrist</t>
        </is>
      </c>
      <c r="B383" s="41" t="n">
        <v>3</v>
      </c>
      <c r="C383" s="41" t="inlineStr">
        <is>
          <t>down</t>
        </is>
      </c>
      <c r="D383" s="41" t="n">
        <v>-60</v>
      </c>
      <c r="E383" s="48" t="n"/>
      <c r="F383" s="48" t="n"/>
      <c r="G383" s="50">
        <f>IF(ISNUMBER(E383),E383-IF(ISNUMBER(F383),F383,0),"")</f>
        <v/>
      </c>
      <c r="H383" s="51" t="n"/>
      <c r="I383" s="50">
        <f>IF(AND(ISNUMBER(G383),ISNUMBER(H383)),H383-G383,"")</f>
        <v/>
      </c>
      <c r="J383" s="50">
        <f>IF(ISNUMBER(I383),ABS(I383),"")</f>
        <v/>
      </c>
      <c r="K383" s="52">
        <f>IF(ISNUMBER(I383),I383^2,"")</f>
        <v/>
      </c>
    </row>
    <row r="384" ht="15" customHeight="1" s="32">
      <c r="A384" s="41" t="inlineStr">
        <is>
          <t>wrist</t>
        </is>
      </c>
      <c r="B384" s="41" t="n">
        <v>3</v>
      </c>
      <c r="C384" s="41" t="inlineStr">
        <is>
          <t>down</t>
        </is>
      </c>
      <c r="D384" s="41" t="n">
        <v>-70</v>
      </c>
      <c r="E384" s="48" t="n"/>
      <c r="F384" s="48" t="n"/>
      <c r="G384" s="50">
        <f>IF(ISNUMBER(E384),E384-IF(ISNUMBER(F384),F384,0),"")</f>
        <v/>
      </c>
      <c r="H384" s="51" t="n"/>
      <c r="I384" s="50">
        <f>IF(AND(ISNUMBER(G384),ISNUMBER(H384)),H384-G384,"")</f>
        <v/>
      </c>
      <c r="J384" s="50">
        <f>IF(ISNUMBER(I384),ABS(I384),"")</f>
        <v/>
      </c>
      <c r="K384" s="52">
        <f>IF(ISNUMBER(I384),I384^2,"")</f>
        <v/>
      </c>
    </row>
    <row r="385" ht="15" customHeight="1" s="32">
      <c r="A385" s="41" t="inlineStr">
        <is>
          <t>wrist</t>
        </is>
      </c>
      <c r="B385" s="41" t="n">
        <v>3</v>
      </c>
      <c r="C385" s="41" t="inlineStr">
        <is>
          <t>down</t>
        </is>
      </c>
      <c r="D385" s="41" t="n">
        <v>-80</v>
      </c>
      <c r="E385" s="48" t="n"/>
      <c r="F385" s="48" t="n"/>
      <c r="G385" s="50">
        <f>IF(ISNUMBER(E385),E385-IF(ISNUMBER(F385),F385,0),"")</f>
        <v/>
      </c>
      <c r="H385" s="51" t="n"/>
      <c r="I385" s="50">
        <f>IF(AND(ISNUMBER(G385),ISNUMBER(H385)),H385-G385,"")</f>
        <v/>
      </c>
      <c r="J385" s="50">
        <f>IF(ISNUMBER(I385),ABS(I385),"")</f>
        <v/>
      </c>
      <c r="K385" s="52">
        <f>IF(ISNUMBER(I385),I385^2,"")</f>
        <v/>
      </c>
    </row>
    <row r="387" ht="15" customHeight="1" s="32">
      <c r="A387" s="38" t="inlineStr">
        <is>
          <t>Summary</t>
        </is>
      </c>
    </row>
    <row r="388" ht="30" customHeight="1" s="32">
      <c r="A388" s="35" t="inlineStr">
        <is>
          <t>Joint</t>
        </is>
      </c>
      <c r="B388" s="35" t="inlineStr">
        <is>
          <t>Points</t>
        </is>
      </c>
      <c r="C388" s="35" t="inlineStr">
        <is>
          <t>RMS error (°)</t>
        </is>
      </c>
      <c r="D388" s="35" t="inlineStr">
        <is>
          <t>Max |error| (°)</t>
        </is>
      </c>
      <c r="E388" s="35" t="inlineStr">
        <is>
          <t>Hysteresis (°): mean down − mean up</t>
        </is>
      </c>
      <c r="F388" s="35" t="inlineStr">
        <is>
          <t>Result</t>
        </is>
      </c>
    </row>
    <row r="389" ht="15" customHeight="1" s="32">
      <c r="A389" s="41" t="inlineStr">
        <is>
          <t>base</t>
        </is>
      </c>
      <c r="B389" s="41">
        <f>COUNTIFS($A$14:$A$385,"base",$J$14:$J$385,"&gt;=0")</f>
        <v/>
      </c>
      <c r="C389" s="50">
        <f>IF(B389=0,"",SQRT(SUMIFS($K$14:$K$385,$A$14:$A$385,"base")/B389))</f>
        <v/>
      </c>
      <c r="D389" s="50">
        <f>IF(B389=0,"",_xlfn.MAXIFS($J$14:$J$385,$A$14:$A$385,"base"))</f>
        <v/>
      </c>
      <c r="E389" s="50">
        <f>IFERROR(AVERAGEIFS($I$14:$I$385,$A$14:$A$385,"base",$C$14:$C$385,"down")-AVERAGEIFS($I$14:$I$385,$A$14:$A$385,"base",$C$14:$C$385,"up"),"")</f>
        <v/>
      </c>
      <c r="F389" s="53">
        <f>IF(B389=0,"not done",IF(D389&lt;=1,"PASS","FAIL"))</f>
        <v/>
      </c>
    </row>
    <row r="390" ht="15" customHeight="1" s="32">
      <c r="A390" s="41" t="inlineStr">
        <is>
          <t>shoulder</t>
        </is>
      </c>
      <c r="B390" s="41">
        <f>COUNTIFS($A$14:$A$385,"shoulder",$J$14:$J$385,"&gt;=0")</f>
        <v/>
      </c>
      <c r="C390" s="50">
        <f>IF(B390=0,"",SQRT(SUMIFS($K$14:$K$385,$A$14:$A$385,"shoulder")/B390))</f>
        <v/>
      </c>
      <c r="D390" s="50">
        <f>IF(B390=0,"",_xlfn.MAXIFS($J$14:$J$385,$A$14:$A$385,"shoulder"))</f>
        <v/>
      </c>
      <c r="E390" s="50">
        <f>IFERROR(AVERAGEIFS($I$14:$I$385,$A$14:$A$385,"shoulder",$C$14:$C$385,"down")-AVERAGEIFS($I$14:$I$385,$A$14:$A$385,"shoulder",$C$14:$C$385,"up"),"")</f>
        <v/>
      </c>
      <c r="F390" s="53">
        <f>IF(B390=0,"not done",IF(D390&lt;=1,"PASS","FAIL"))</f>
        <v/>
      </c>
    </row>
    <row r="391" ht="15" customHeight="1" s="32">
      <c r="A391" s="41" t="inlineStr">
        <is>
          <t>elbow</t>
        </is>
      </c>
      <c r="B391" s="41">
        <f>COUNTIFS($A$14:$A$385,"elbow",$J$14:$J$385,"&gt;=0")</f>
        <v/>
      </c>
      <c r="C391" s="50">
        <f>IF(B391=0,"",SQRT(SUMIFS($K$14:$K$385,$A$14:$A$385,"elbow")/B391))</f>
        <v/>
      </c>
      <c r="D391" s="50">
        <f>IF(B391=0,"",_xlfn.MAXIFS($J$14:$J$385,$A$14:$A$385,"elbow"))</f>
        <v/>
      </c>
      <c r="E391" s="50">
        <f>IFERROR(AVERAGEIFS($I$14:$I$385,$A$14:$A$385,"elbow",$C$14:$C$385,"down")-AVERAGEIFS($I$14:$I$385,$A$14:$A$385,"elbow",$C$14:$C$385,"up"),"")</f>
        <v/>
      </c>
      <c r="F391" s="53">
        <f>IF(B391=0,"not done",IF(D391&lt;=1,"PASS","FAIL"))</f>
        <v/>
      </c>
    </row>
    <row r="392" ht="15" customHeight="1" s="32">
      <c r="A392" s="41" t="inlineStr">
        <is>
          <t>wrist</t>
        </is>
      </c>
      <c r="B392" s="41">
        <f>COUNTIFS($A$14:$A$385,"wrist",$J$14:$J$385,"&gt;=0")</f>
        <v/>
      </c>
      <c r="C392" s="50">
        <f>IF(B392=0,"",SQRT(SUMIFS($K$14:$K$385,$A$14:$A$385,"wrist")/B392))</f>
        <v/>
      </c>
      <c r="D392" s="50">
        <f>IF(B392=0,"",_xlfn.MAXIFS($J$14:$J$385,$A$14:$A$385,"wrist"))</f>
        <v/>
      </c>
      <c r="E392" s="50">
        <f>IFERROR(AVERAGEIFS($I$14:$I$385,$A$14:$A$385,"wrist",$C$14:$C$385,"down")-AVERAGEIFS($I$14:$I$385,$A$14:$A$385,"wrist",$C$14:$C$385,"up"),"")</f>
        <v/>
      </c>
      <c r="F392" s="53">
        <f>IF(B392=0,"not done",IF(D392&lt;=1,"PASS","FAIL"))</f>
        <v/>
      </c>
    </row>
    <row r="393" ht="15" customHeight="1" s="32">
      <c r="A393" s="53" t="inlineStr">
        <is>
          <t>All joints</t>
        </is>
      </c>
      <c r="F393" s="53">
        <f>IF(COUNTIF(F389:F392,"not done")&gt;0,"not done",IF(COUNTIF(F389:F392,"FAIL")&gt;0,"FAIL","PASS"))</f>
        <v/>
      </c>
    </row>
  </sheetData>
  <mergeCells count="8">
    <mergeCell ref="A6:K6"/>
    <mergeCell ref="A4:K4"/>
    <mergeCell ref="A7:K7"/>
    <mergeCell ref="A11:K11"/>
    <mergeCell ref="A10:K10"/>
    <mergeCell ref="A5:K5"/>
    <mergeCell ref="A9:K9"/>
    <mergeCell ref="A8:K8"/>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H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31" min="1" max="1"/>
    <col width="16" customWidth="1" style="31" min="2" max="5"/>
    <col width="18" customWidth="1" style="31" min="6" max="6"/>
    <col width="16" customWidth="1" style="31" min="7" max="7"/>
    <col width="34" customWidth="1" style="31" min="8" max="8"/>
  </cols>
  <sheetData>
    <row r="1" ht="17.25" customHeight="1" s="32">
      <c r="A1" s="33" t="inlineStr">
        <is>
          <t>8.3 Encoder versus servo command (R9, Objective 4)</t>
        </is>
      </c>
    </row>
    <row r="2" ht="15" customHeight="1" s="32">
      <c r="A2" s="34" t="inlineStr">
        <is>
          <t>There is no servo feedback wire, so the encoder is compared with the servo command. Say so in the text.</t>
        </is>
      </c>
    </row>
    <row r="4" ht="15" customHeight="1" s="32">
      <c r="A4" s="44" t="inlineStr">
        <is>
          <t>Part 1, encoder resolution (firmware, Serial Monitor):</t>
        </is>
      </c>
    </row>
    <row r="5" ht="30" customHeight="1" s="32">
      <c r="A5" s="45" t="inlineStr">
        <is>
          <t>Move the joint to a mid pose (M,joint,angle,40), wait 3 s, then type O,joint,60. Record the std and peak-to-peak it prints.</t>
        </is>
      </c>
    </row>
    <row r="6" ht="15" customHeight="1" s="32">
      <c r="A6" s="44" t="inlineStr">
        <is>
          <t>Part 2, servo deadband (BRING-UP sketch, because it takes pulse widths in µs):</t>
        </is>
      </c>
    </row>
    <row r="7" ht="45" customHeight="1" s="32">
      <c r="A7" s="45" t="inlineStr">
        <is>
          <t>Approach the start pulse from 20 µs below (e.g. p2 1542 then p2 1562), type m&lt;n&gt;, then step DOWN 1 µs at a time (about 3 s each). The first pulse where the raw count changes and stays changed is the reversal point (deadband plus backlash). Keep stepping and note the µs between the next jumps: that is the step resolution.</t>
        </is>
      </c>
    </row>
    <row r="8" ht="15" customHeight="1" s="32">
      <c r="A8" s="45" t="inlineStr">
        <is>
          <t>Part 3, open-loop servo error: from the bring-up fits (pre-filled, green).</t>
        </is>
      </c>
    </row>
    <row r="9" ht="15" customHeight="1" s="32">
      <c r="A9" s="45" t="inlineStr">
        <is>
          <t>Pass: encoder std (part 1) &lt; servo step resolution (part 2, in degrees), and encoder max error (8.2) &lt; open-loop servo max error.</t>
        </is>
      </c>
    </row>
    <row r="10" ht="25.5" customHeight="1" s="32">
      <c r="A10" s="40" t="inlineStr">
        <is>
          <t>Legend: yellow cells = fill in during the test. Green cells = already measured during bring-up (keep or overwrite). White cells are formulas; do not type in them. The grey example row is not counted.</t>
        </is>
      </c>
    </row>
    <row r="11" ht="15" customHeight="1" s="32">
      <c r="A11" s="38" t="inlineStr">
        <is>
          <t>Part 1: encoder resolution (60 s hold)</t>
        </is>
      </c>
    </row>
    <row r="12" ht="30" customHeight="1" s="32">
      <c r="A12" s="35" t="inlineStr">
        <is>
          <t>Joint</t>
        </is>
      </c>
      <c r="B12" s="35" t="inlineStr">
        <is>
          <t>Pose (°)</t>
        </is>
      </c>
      <c r="C12" s="35" t="inlineStr">
        <is>
          <t>Std (°)</t>
        </is>
      </c>
      <c r="D12" s="35" t="inlineStr">
        <is>
          <t>Peak-to-peak (°)</t>
        </is>
      </c>
      <c r="E12" s="35" t="inlineStr">
        <is>
          <t>Theory: 1 count (°)</t>
        </is>
      </c>
      <c r="F12" s="35" t="inlineStr">
        <is>
          <t>Note</t>
        </is>
      </c>
    </row>
    <row r="13" ht="15" customHeight="1" s="32">
      <c r="A13" s="46" t="inlineStr">
        <is>
          <t>example</t>
        </is>
      </c>
      <c r="B13" s="46" t="n">
        <v>30</v>
      </c>
      <c r="C13" s="46" t="n">
        <v>0.03</v>
      </c>
      <c r="D13" s="46" t="n">
        <v>0.09</v>
      </c>
      <c r="E13" s="54">
        <f>360/4096</f>
        <v/>
      </c>
    </row>
    <row r="14" ht="15" customHeight="1" s="32">
      <c r="A14" s="41" t="inlineStr">
        <is>
          <t>base</t>
        </is>
      </c>
      <c r="B14" s="55" t="n">
        <v>30</v>
      </c>
      <c r="C14" s="55" t="n">
        <v>0</v>
      </c>
      <c r="D14" s="55" t="n">
        <v>0.09</v>
      </c>
      <c r="E14" s="52">
        <f>360/4096</f>
        <v/>
      </c>
      <c r="F14" s="41" t="inlineStr">
        <is>
          <t>12 Oct 2026, 60 s re-run (fixed firmware): std 0.00, p2p 0.00. First run flickered 1 count (0.09), kept as worst case</t>
        </is>
      </c>
    </row>
    <row r="15" ht="15" customHeight="1" s="32">
      <c r="A15" s="41" t="inlineStr">
        <is>
          <t>shoulder</t>
        </is>
      </c>
      <c r="B15" s="55" t="n">
        <v>30</v>
      </c>
      <c r="C15" s="55" t="n">
        <v>0</v>
      </c>
      <c r="D15" s="55" t="n">
        <v>0.09</v>
      </c>
      <c r="E15" s="52">
        <f>360/4096</f>
        <v/>
      </c>
      <c r="F15" s="41" t="inlineStr">
        <is>
          <t>12 Oct 2026, 60 s re-run (fixed firmware): std 0.00, p2p 0.00. First run flickered 1 count (0.09), kept as worst case</t>
        </is>
      </c>
    </row>
    <row r="16" ht="15" customHeight="1" s="32">
      <c r="A16" s="41" t="inlineStr">
        <is>
          <t>elbow</t>
        </is>
      </c>
      <c r="B16" s="55" t="n">
        <v>0</v>
      </c>
      <c r="C16" s="55" t="n">
        <v>0</v>
      </c>
      <c r="D16" s="55" t="n">
        <v>0</v>
      </c>
      <c r="E16" s="52">
        <f>360/4096</f>
        <v/>
      </c>
      <c r="F16" s="41" t="inlineStr">
        <is>
          <t>12 Oct 2026, 60 s</t>
        </is>
      </c>
    </row>
    <row r="17" ht="15" customHeight="1" s="32">
      <c r="A17" s="41" t="inlineStr">
        <is>
          <t>wrist</t>
        </is>
      </c>
      <c r="B17" s="55" t="n">
        <v>0</v>
      </c>
      <c r="C17" s="55" t="n">
        <v>0</v>
      </c>
      <c r="D17" s="55" t="n">
        <v>0</v>
      </c>
      <c r="E17" s="52">
        <f>360/4096</f>
        <v/>
      </c>
      <c r="F17" s="41" t="inlineStr">
        <is>
          <t>12 Oct 2026, 60 s</t>
        </is>
      </c>
    </row>
    <row r="19" ht="15" customHeight="1" s="32">
      <c r="A19" s="38" t="inlineStr">
        <is>
          <t>Part 2: servo deadband (1 µs steps)</t>
        </is>
      </c>
    </row>
    <row r="20" ht="30" customHeight="1" s="32">
      <c r="A20" s="35" t="inlineStr">
        <is>
          <t>Joint</t>
        </is>
      </c>
      <c r="B20" s="35" t="inlineStr">
        <is>
          <t>Start pulse (µs)</t>
        </is>
      </c>
      <c r="C20" s="35" t="inlineStr">
        <is>
          <t>Reversal: first move (µs)</t>
        </is>
      </c>
      <c r="D20" s="35" t="inlineStr">
        <is>
          <t>Step resolution (µs)</t>
        </is>
      </c>
      <c r="E20" s="35" t="inlineStr">
        <is>
          <t>Slope k (°/µs)</t>
        </is>
      </c>
      <c r="F20" s="35" t="inlineStr">
        <is>
          <t>Reversal deadband (°)</t>
        </is>
      </c>
      <c r="G20" s="35" t="inlineStr">
        <is>
          <t>Step resolution (°)</t>
        </is>
      </c>
      <c r="H20" s="35" t="inlineStr">
        <is>
          <t>Note</t>
        </is>
      </c>
    </row>
    <row r="21" ht="15" customHeight="1" s="32">
      <c r="A21" s="46" t="inlineStr">
        <is>
          <t>example</t>
        </is>
      </c>
      <c r="B21" s="46" t="n">
        <v>1562</v>
      </c>
      <c r="C21" s="46" t="n">
        <v>1556</v>
      </c>
      <c r="D21" s="46" t="n">
        <v>2</v>
      </c>
      <c r="E21" s="46" t="n">
        <v>0.1358</v>
      </c>
    </row>
    <row r="22" ht="15" customHeight="1" s="32">
      <c r="A22" s="41" t="inlineStr">
        <is>
          <t>base</t>
        </is>
      </c>
      <c r="B22" s="42" t="n">
        <v>1623</v>
      </c>
      <c r="C22" s="42" t="n">
        <v>1618</v>
      </c>
      <c r="D22" s="42" t="n">
        <v>4</v>
      </c>
      <c r="E22" s="56" t="n">
        <v>0.1276</v>
      </c>
      <c r="F22" s="50">
        <f>IF(ISNUMBER(C22),ABS(B22-C22)*E22,"")</f>
        <v/>
      </c>
      <c r="G22" s="50">
        <f>IF(ISNUMBER(D22),D22*E22,"")</f>
        <v/>
      </c>
      <c r="H22" s="57" t="inlineStr">
        <is>
          <t>Hunts ±0.7° for several s after each step (horn play); jumps every 3–5 µs</t>
        </is>
      </c>
    </row>
    <row r="23" ht="15" customHeight="1" s="32">
      <c r="A23" s="41" t="inlineStr">
        <is>
          <t>shoulder</t>
        </is>
      </c>
      <c r="B23" s="42" t="n">
        <v>1558</v>
      </c>
      <c r="C23" s="42" t="n">
        <v>1530</v>
      </c>
      <c r="D23" s="42" t="n">
        <v>6</v>
      </c>
      <c r="E23" s="56" t="n">
        <v>0.1292</v>
      </c>
      <c r="F23" s="50">
        <f>IF(ISNUMBER(C23),ABS(B23-C23)*E23,"")</f>
        <v/>
      </c>
      <c r="G23" s="50">
        <f>IF(ISNUMBER(D23),D23*E23,"")</f>
        <v/>
      </c>
      <c r="H23" s="57" t="inlineStr">
        <is>
          <t>Stick-slip: 0.5–0.8° jumps, up to 2 s delay</t>
        </is>
      </c>
    </row>
    <row r="24" ht="15" customHeight="1" s="32">
      <c r="A24" s="41" t="inlineStr">
        <is>
          <t>elbow</t>
        </is>
      </c>
      <c r="B24" s="42" t="n">
        <v>1582</v>
      </c>
      <c r="C24" s="42" t="n">
        <v>1576</v>
      </c>
      <c r="D24" s="42" t="n">
        <v>2</v>
      </c>
      <c r="E24" s="56" t="n">
        <v>0.1358</v>
      </c>
      <c r="F24" s="50">
        <f>IF(ISNUMBER(C24),ABS(B24-C24)*E24,"")</f>
        <v/>
      </c>
      <c r="G24" s="50">
        <f>IF(ISNUMBER(D24),D24*E24,"")</f>
        <v/>
      </c>
      <c r="H24" s="57" t="inlineStr">
        <is>
          <t>Start 1582 approached from below; step size from 1562→1564 up test</t>
        </is>
      </c>
    </row>
    <row r="25" ht="15" customHeight="1" s="32">
      <c r="A25" s="41" t="inlineStr">
        <is>
          <t>wrist</t>
        </is>
      </c>
      <c r="B25" s="42" t="n">
        <v>1548</v>
      </c>
      <c r="C25" s="42" t="n">
        <v>1539</v>
      </c>
      <c r="D25" s="42" t="n">
        <v>3.5</v>
      </c>
      <c r="E25" s="56" t="n">
        <v>0.1361</v>
      </c>
      <c r="F25" s="50">
        <f>IF(ISNUMBER(C25),ABS(B25-C25)*E25,"")</f>
        <v/>
      </c>
      <c r="G25" s="50">
        <f>IF(ISNUMBER(D25),D25*E25,"")</f>
        <v/>
      </c>
      <c r="H25" s="57" t="inlineStr">
        <is>
          <t>1 count creep at 1541; jumps every 3–4 µs</t>
        </is>
      </c>
    </row>
    <row r="26" ht="15" customHeight="1" s="32">
      <c r="A26" s="34" t="inlineStr">
        <is>
          <t>Slope k: magnitude of the bring-up fits (9 and 11 Oct 2026). Measured 12 Oct 2026 with the bring-up sketch, shoulder and elbow at 0°.</t>
        </is>
      </c>
    </row>
    <row r="28" ht="15" customHeight="1" s="32">
      <c r="A28" s="38" t="inlineStr">
        <is>
          <t>Part 3: open-loop servo error (bring-up fits) against encoder error (8.2)</t>
        </is>
      </c>
    </row>
    <row r="29" ht="30" customHeight="1" s="32">
      <c r="A29" s="35" t="inlineStr">
        <is>
          <t>Joint</t>
        </is>
      </c>
      <c r="B29" s="35" t="inlineStr">
        <is>
          <t>Servo fit RMS (°)</t>
        </is>
      </c>
      <c r="C29" s="35" t="inlineStr">
        <is>
          <t>Servo fit max (°)</t>
        </is>
      </c>
      <c r="D29" s="35" t="inlineStr">
        <is>
          <t>Servo hysteresis (°)</t>
        </is>
      </c>
      <c r="E29" s="35" t="inlineStr">
        <is>
          <t>Encoder max error, 8.2 (°)</t>
        </is>
      </c>
      <c r="F29" s="35" t="inlineStr">
        <is>
          <t>Encoder std, part 1 (°)</t>
        </is>
      </c>
      <c r="G29" s="35" t="inlineStr">
        <is>
          <t>Servo step resolution, part 2 (°)</t>
        </is>
      </c>
      <c r="H29" s="35" t="inlineStr">
        <is>
          <t>Result</t>
        </is>
      </c>
    </row>
    <row r="30" ht="15" customHeight="1" s="32">
      <c r="A30" s="41" t="inlineStr">
        <is>
          <t>base</t>
        </is>
      </c>
      <c r="B30" s="58" t="n">
        <v>0.45</v>
      </c>
      <c r="C30" s="58" t="n">
        <v>0.74</v>
      </c>
      <c r="D30" s="59" t="n">
        <v>0.5</v>
      </c>
      <c r="E30" s="50">
        <f>'8.2 Encoder cal'!D389</f>
        <v/>
      </c>
      <c r="F30" s="52">
        <f>C14</f>
        <v/>
      </c>
      <c r="G30" s="50">
        <f>G22</f>
        <v/>
      </c>
      <c r="H30" s="53">
        <f>IF(OR(NOT(ISNUMBER(E30)),NOT(ISNUMBER(F30))),"not done",IF(AND(E30&lt;C30,OR(NOT(ISNUMBER(G30)),F30&lt;G30)),"PASS","FAIL"))</f>
        <v/>
      </c>
    </row>
    <row r="31" ht="15" customHeight="1" s="32">
      <c r="A31" s="41" t="inlineStr">
        <is>
          <t>shoulder</t>
        </is>
      </c>
      <c r="B31" s="58" t="n">
        <v>1.6</v>
      </c>
      <c r="C31" s="58" t="n">
        <v>2.96</v>
      </c>
      <c r="D31" s="59" t="n">
        <v>3.2</v>
      </c>
      <c r="E31" s="50">
        <f>'8.2 Encoder cal'!D390</f>
        <v/>
      </c>
      <c r="F31" s="52">
        <f>C15</f>
        <v/>
      </c>
      <c r="G31" s="50">
        <f>G23</f>
        <v/>
      </c>
      <c r="H31" s="53">
        <f>IF(OR(NOT(ISNUMBER(E31)),NOT(ISNUMBER(F31))),"not done",IF(AND(E31&lt;C31,OR(NOT(ISNUMBER(G31)),F31&lt;G31)),"PASS","FAIL"))</f>
        <v/>
      </c>
    </row>
    <row r="32" ht="15" customHeight="1" s="32">
      <c r="A32" s="41" t="inlineStr">
        <is>
          <t>elbow</t>
        </is>
      </c>
      <c r="B32" s="58" t="n">
        <v>0.41</v>
      </c>
      <c r="C32" s="58" t="n">
        <v>0.9</v>
      </c>
      <c r="D32" s="59" t="n">
        <v>1.3</v>
      </c>
      <c r="E32" s="50">
        <f>'8.2 Encoder cal'!D391</f>
        <v/>
      </c>
      <c r="F32" s="52">
        <f>C16</f>
        <v/>
      </c>
      <c r="G32" s="50">
        <f>G24</f>
        <v/>
      </c>
      <c r="H32" s="53">
        <f>IF(OR(NOT(ISNUMBER(E32)),NOT(ISNUMBER(F32))),"not done",IF(AND(E32&lt;C32,OR(NOT(ISNUMBER(G32)),F32&lt;G32)),"PASS","FAIL"))</f>
        <v/>
      </c>
    </row>
    <row r="33" ht="15" customHeight="1" s="32">
      <c r="A33" s="41" t="inlineStr">
        <is>
          <t>wrist</t>
        </is>
      </c>
      <c r="B33" s="58" t="n">
        <v>1.26</v>
      </c>
      <c r="C33" s="58" t="n">
        <v>3.51</v>
      </c>
      <c r="D33" s="59" t="n">
        <v>0.7</v>
      </c>
      <c r="E33" s="50">
        <f>'8.2 Encoder cal'!D392</f>
        <v/>
      </c>
      <c r="F33" s="52">
        <f>C17</f>
        <v/>
      </c>
      <c r="G33" s="50">
        <f>G25</f>
        <v/>
      </c>
      <c r="H33" s="53">
        <f>IF(OR(NOT(ISNUMBER(E33)),NOT(ISNUMBER(F33))),"not done",IF(AND(E33&lt;C33,OR(NOT(ISNUMBER(G33)),F33&lt;G33)),"PASS","FAIL"))</f>
        <v/>
      </c>
    </row>
    <row r="34" ht="15" customHeight="1" s="32">
      <c r="A34" s="53" t="inlineStr">
        <is>
          <t>All joints</t>
        </is>
      </c>
      <c r="H34" s="53">
        <f>IF(COUNTIF(H30:H33,"not done")&gt;0,"not done",IF(COUNTIF(H30:H33,"FAIL")&gt;0,"FAIL","PASS"))</f>
        <v/>
      </c>
    </row>
    <row r="35" ht="15" customHeight="1" s="32">
      <c r="A35" s="34" t="inlineStr">
        <is>
          <t>Green: base fit 11 Oct (11 points, 2200 µs point excluded); shoulder, elbow and wrist fits 9 Oct 2026. Hysteresis = spread of readings at the same pulse.</t>
        </is>
      </c>
    </row>
  </sheetData>
  <mergeCells count="7">
    <mergeCell ref="A9:H9"/>
    <mergeCell ref="A4:H4"/>
    <mergeCell ref="A7:H7"/>
    <mergeCell ref="A10:H10"/>
    <mergeCell ref="A5:H5"/>
    <mergeCell ref="A8:H8"/>
    <mergeCell ref="A6:H6"/>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J7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31" min="1" max="2"/>
    <col width="10" customWidth="1" style="31" min="3" max="3"/>
    <col width="8" customWidth="1" style="31" min="4" max="4"/>
    <col width="14" customWidth="1" style="31" min="5" max="8"/>
    <col width="12" customWidth="1" style="31" min="9" max="9"/>
    <col width="34" customWidth="1" style="31" min="10" max="10"/>
  </cols>
  <sheetData>
    <row r="1" ht="17.25" customHeight="1" s="32">
      <c r="A1" s="33" t="inlineStr">
        <is>
          <t>8.4 Control loop (R11: ≥ 200 Hz, Objective 6)</t>
        </is>
      </c>
    </row>
    <row r="2" ht="15" customHeight="1" s="32">
      <c r="A2" s="34" t="inlineStr">
        <is>
          <t>Loop timing, then a step test with the trim loop on and off.</t>
        </is>
      </c>
    </row>
    <row r="4" ht="30" customHeight="1" s="32">
      <c r="A4" s="45" t="inlineStr">
        <is>
          <t>Part 1, loop rate: Serial Monitor. Type T, wait at least 60 s (12 000 loops), type T again and copy the second output here. The firmware times every loop with micros().</t>
        </is>
      </c>
    </row>
    <row r="5" ht="30" customHeight="1" s="32">
      <c r="A5" s="45" t="inlineStr">
        <is>
          <t>Pass: mean period ≤ 5000 µs (≥ 200 Hz), every loop finishes inside its 5 ms (exec max &lt; 5000 µs) and 0 overruns.</t>
        </is>
      </c>
    </row>
    <row r="6" ht="15" customHeight="1" s="32">
      <c r="A6" s="44" t="inlineStr">
        <is>
          <t>Part 2, step test (shoulder, elbow, wrist with and without 500 g; base without load, from 35° because it hunts inside ±30°):</t>
        </is>
      </c>
    </row>
    <row r="7" ht="60" customHeight="1" s="32">
      <c r="A7" s="45" t="inlineStr">
        <is>
          <t>X,joint,1 (trim on). M,joint,start,180, wait 3 s. M,joint,start+10,180, wait 5 s. Back to start. Repeat 3 times. Then X,joint,0 (trim off) and repeat. Then with 500 g in the gripper. Send me the Serial Monitor log: I extract settling time, overshoot and final error from the A lines and fill the yellow cells (or read final error with P).</t>
        </is>
      </c>
    </row>
    <row r="8" ht="30" customHeight="1" s="32">
      <c r="A8" s="45" t="inlineStr">
        <is>
          <t>Settling time: until the joint stays within ±0.5° of its final value. Final error: encoder − target, 5 s after the step.</t>
        </is>
      </c>
    </row>
    <row r="9" ht="25.5" customHeight="1" s="32">
      <c r="A9" s="40" t="inlineStr">
        <is>
          <t>Legend: yellow cells = fill in during the test. Green cells = already measured during bring-up (keep or overwrite). White cells are formulas; do not type in them. The grey example row is not counted.</t>
        </is>
      </c>
    </row>
    <row r="10" ht="15" customHeight="1" s="32">
      <c r="A10" s="38" t="inlineStr">
        <is>
          <t>Part 1: loop timing (from T)</t>
        </is>
      </c>
    </row>
    <row r="11" ht="30" customHeight="1" s="32">
      <c r="A11" s="35" t="inlineStr">
        <is>
          <t>Quantity</t>
        </is>
      </c>
      <c r="B11" s="35" t="inlineStr">
        <is>
          <t>Value</t>
        </is>
      </c>
      <c r="C11" s="35" t="inlineStr">
        <is>
          <t>Unit</t>
        </is>
      </c>
      <c r="D11" s="35" t="inlineStr">
        <is>
          <t>Note</t>
        </is>
      </c>
    </row>
    <row r="12" ht="15" customHeight="1" s="32">
      <c r="A12" s="41" t="inlineStr">
        <is>
          <t>Loops measured</t>
        </is>
      </c>
      <c r="B12" s="42" t="n">
        <v>22773</v>
      </c>
      <c r="C12" s="41" t="n"/>
      <c r="D12" s="41" t="n"/>
    </row>
    <row r="13" ht="15" customHeight="1" s="32">
      <c r="A13" s="41" t="inlineStr">
        <is>
          <t>Mean loop period</t>
        </is>
      </c>
      <c r="B13" s="42" t="n">
        <v>5000</v>
      </c>
      <c r="C13" s="41" t="inlineStr">
        <is>
          <t>µs</t>
        </is>
      </c>
      <c r="D13" s="41" t="inlineStr">
        <is>
          <t>12 Oct 2026, 114 s run incl. moves</t>
        </is>
      </c>
    </row>
    <row r="14" ht="15" customHeight="1" s="32">
      <c r="A14" s="41" t="inlineStr">
        <is>
          <t>Min loop period</t>
        </is>
      </c>
      <c r="B14" s="42" t="n">
        <v>4717</v>
      </c>
      <c r="C14" s="41" t="inlineStr">
        <is>
          <t>µs</t>
        </is>
      </c>
      <c r="D14" s="41" t="n"/>
    </row>
    <row r="15" ht="15" customHeight="1" s="32">
      <c r="A15" s="41" t="inlineStr">
        <is>
          <t>Max loop period</t>
        </is>
      </c>
      <c r="B15" s="42" t="n">
        <v>5283</v>
      </c>
      <c r="C15" s="41" t="inlineStr">
        <is>
          <t>µs</t>
        </is>
      </c>
      <c r="D15" s="41" t="n"/>
    </row>
    <row r="16" ht="15" customHeight="1" s="32">
      <c r="A16" s="41" t="inlineStr">
        <is>
          <t>I²C read mean (4 encoders + INA219)</t>
        </is>
      </c>
      <c r="B16" s="42" t="n">
        <v>1472</v>
      </c>
      <c r="C16" s="41" t="inlineStr">
        <is>
          <t>µs</t>
        </is>
      </c>
      <c r="D16" s="41" t="inlineStr">
        <is>
          <t>earlier: 1544–1565 µs</t>
        </is>
      </c>
    </row>
    <row r="17" ht="15" customHeight="1" s="32">
      <c r="A17" s="41" t="inlineStr">
        <is>
          <t>I²C read max</t>
        </is>
      </c>
      <c r="B17" s="42" t="n">
        <v>1675</v>
      </c>
      <c r="C17" s="41" t="inlineStr">
        <is>
          <t>µs</t>
        </is>
      </c>
      <c r="D17" s="41" t="inlineStr">
        <is>
          <t>earlier: 1631–4062 µs</t>
        </is>
      </c>
    </row>
    <row r="18" ht="15" customHeight="1" s="32">
      <c r="A18" s="41" t="inlineStr">
        <is>
          <t>Loop exec max</t>
        </is>
      </c>
      <c r="B18" s="42" t="n">
        <v>1965</v>
      </c>
      <c r="C18" s="41" t="inlineStr">
        <is>
          <t>µs</t>
        </is>
      </c>
      <c r="D18" s="41" t="inlineStr">
        <is>
          <t>earlier: 1852–4453 µs</t>
        </is>
      </c>
    </row>
    <row r="19" ht="15" customHeight="1" s="32">
      <c r="A19" s="41" t="inlineStr">
        <is>
          <t>Overruns</t>
        </is>
      </c>
      <c r="B19" s="42" t="n">
        <v>0</v>
      </c>
      <c r="C19" s="41" t="n"/>
      <c r="D19" s="41" t="inlineStr">
        <is>
          <t>earlier: 0</t>
        </is>
      </c>
    </row>
    <row r="20" ht="15" customHeight="1" s="32">
      <c r="A20" s="41" t="inlineStr">
        <is>
          <t>Mean rate</t>
        </is>
      </c>
      <c r="B20" s="49">
        <f>IF(ISNUMBER(B13),1000000/B13,"")</f>
        <v/>
      </c>
      <c r="C20" s="41" t="inlineStr">
        <is>
          <t>Hz</t>
        </is>
      </c>
    </row>
    <row r="21" ht="15" customHeight="1" s="32">
      <c r="A21" s="53" t="inlineStr">
        <is>
          <t>Result</t>
        </is>
      </c>
      <c r="B21" s="53">
        <f>IF(NOT(ISNUMBER(B13)),"not done",IF(AND(B13&lt;=5000.5,B18&lt;5000,B19=0),"PASS","FAIL"))</f>
        <v/>
      </c>
    </row>
    <row r="23" ht="15" customHeight="1" s="32">
      <c r="A23" s="38" t="inlineStr">
        <is>
          <t>Part 2: step test (+10° steps)</t>
        </is>
      </c>
    </row>
    <row r="24" ht="30" customHeight="1" s="32">
      <c r="A24" s="35" t="inlineStr">
        <is>
          <t>Joint</t>
        </is>
      </c>
      <c r="B24" s="35" t="inlineStr">
        <is>
          <t>Load</t>
        </is>
      </c>
      <c r="C24" s="35" t="inlineStr">
        <is>
          <t>Trim</t>
        </is>
      </c>
      <c r="D24" s="35" t="inlineStr">
        <is>
          <t>Rep</t>
        </is>
      </c>
      <c r="E24" s="35" t="inlineStr">
        <is>
          <t>Start (°)</t>
        </is>
      </c>
      <c r="F24" s="35" t="inlineStr">
        <is>
          <t>Settling time (s)</t>
        </is>
      </c>
      <c r="G24" s="35" t="inlineStr">
        <is>
          <t>Overshoot (°)</t>
        </is>
      </c>
      <c r="H24" s="35" t="inlineStr">
        <is>
          <t>Final error (°)</t>
        </is>
      </c>
      <c r="I24" s="35" t="inlineStr">
        <is>
          <t>|Final error|</t>
        </is>
      </c>
      <c r="J24" s="35" t="inlineStr">
        <is>
          <t>Return step (S+10 → S): settle s / overshoot / final error</t>
        </is>
      </c>
    </row>
    <row r="25" ht="15" customHeight="1" s="32">
      <c r="A25" s="46" t="inlineStr">
        <is>
          <t>example</t>
        </is>
      </c>
      <c r="B25" s="46" t="inlineStr">
        <is>
          <t>0 g</t>
        </is>
      </c>
      <c r="C25" s="46" t="inlineStr">
        <is>
          <t>on</t>
        </is>
      </c>
      <c r="D25" s="46" t="n">
        <v>1</v>
      </c>
      <c r="E25" s="46" t="n">
        <v>20</v>
      </c>
      <c r="F25" s="46" t="n">
        <v>0.45</v>
      </c>
      <c r="G25" s="46" t="n">
        <v>0.6</v>
      </c>
      <c r="H25" s="46" t="n">
        <v>0.2</v>
      </c>
    </row>
    <row r="26" ht="15" customHeight="1" s="32">
      <c r="A26" s="41" t="inlineStr">
        <is>
          <t>base</t>
        </is>
      </c>
      <c r="B26" s="41" t="inlineStr">
        <is>
          <t>0 g</t>
        </is>
      </c>
      <c r="C26" s="41" t="inlineStr">
        <is>
          <t>on</t>
        </is>
      </c>
      <c r="D26" s="41" t="n">
        <v>1</v>
      </c>
      <c r="E26" s="42" t="n">
        <v>35</v>
      </c>
      <c r="F26" s="51" t="n">
        <v>0.32</v>
      </c>
      <c r="G26" s="51" t="n">
        <v>1.01</v>
      </c>
      <c r="H26" s="51" t="n">
        <v>0.08</v>
      </c>
      <c r="I26" s="50">
        <f>IF(ISNUMBER(H26),ABS(H26),"")</f>
        <v/>
      </c>
      <c r="J26" s="31" t="inlineStr">
        <is>
          <t>0.52 s / 0.81° / -0.47°</t>
        </is>
      </c>
    </row>
    <row r="27" ht="15" customHeight="1" s="32">
      <c r="A27" s="41" t="inlineStr">
        <is>
          <t>base</t>
        </is>
      </c>
      <c r="B27" s="41" t="inlineStr">
        <is>
          <t>0 g</t>
        </is>
      </c>
      <c r="C27" s="41" t="inlineStr">
        <is>
          <t>on</t>
        </is>
      </c>
      <c r="D27" s="41" t="n">
        <v>2</v>
      </c>
      <c r="E27" s="42" t="n">
        <v>35</v>
      </c>
      <c r="F27" s="51" t="n">
        <v>0.36</v>
      </c>
      <c r="G27" s="51" t="n">
        <v>1.03</v>
      </c>
      <c r="H27" s="51" t="n">
        <v>0.11</v>
      </c>
      <c r="I27" s="50">
        <f>IF(ISNUMBER(H27),ABS(H27),"")</f>
        <v/>
      </c>
      <c r="J27" s="31" t="inlineStr">
        <is>
          <t>0.7 s / 0.99° / -0.21°</t>
        </is>
      </c>
    </row>
    <row r="28" ht="15" customHeight="1" s="32">
      <c r="A28" s="41" t="inlineStr">
        <is>
          <t>base</t>
        </is>
      </c>
      <c r="B28" s="41" t="inlineStr">
        <is>
          <t>0 g</t>
        </is>
      </c>
      <c r="C28" s="41" t="inlineStr">
        <is>
          <t>on</t>
        </is>
      </c>
      <c r="D28" s="41" t="n">
        <v>3</v>
      </c>
      <c r="E28" s="42" t="n">
        <v>35</v>
      </c>
      <c r="F28" s="51" t="n">
        <v>0.3</v>
      </c>
      <c r="G28" s="51" t="n">
        <v>0.83</v>
      </c>
      <c r="H28" s="51" t="n">
        <v>0.18</v>
      </c>
      <c r="I28" s="50">
        <f>IF(ISNUMBER(H28),ABS(H28),"")</f>
        <v/>
      </c>
      <c r="J28" s="31" t="inlineStr">
        <is>
          <t>0.52 s / 0.99° / -0.54°</t>
        </is>
      </c>
    </row>
    <row r="29" ht="15" customHeight="1" s="32">
      <c r="A29" s="41" t="inlineStr">
        <is>
          <t>base</t>
        </is>
      </c>
      <c r="B29" s="41" t="inlineStr">
        <is>
          <t>0 g</t>
        </is>
      </c>
      <c r="C29" s="41" t="inlineStr">
        <is>
          <t>off</t>
        </is>
      </c>
      <c r="D29" s="41" t="n">
        <v>1</v>
      </c>
      <c r="E29" s="42" t="n">
        <v>35</v>
      </c>
      <c r="F29" s="51" t="n">
        <v>0.32</v>
      </c>
      <c r="G29" s="51" t="n">
        <v>1.08</v>
      </c>
      <c r="H29" s="51" t="n">
        <v>0</v>
      </c>
      <c r="I29" s="50">
        <f>IF(ISNUMBER(H29),ABS(H29),"")</f>
        <v/>
      </c>
      <c r="J29" s="31" t="inlineStr">
        <is>
          <t>0.76 s / 0.55° / -0.20°</t>
        </is>
      </c>
    </row>
    <row r="30" ht="15" customHeight="1" s="32">
      <c r="A30" s="41" t="inlineStr">
        <is>
          <t>base</t>
        </is>
      </c>
      <c r="B30" s="41" t="inlineStr">
        <is>
          <t>0 g</t>
        </is>
      </c>
      <c r="C30" s="41" t="inlineStr">
        <is>
          <t>off</t>
        </is>
      </c>
      <c r="D30" s="41" t="n">
        <v>2</v>
      </c>
      <c r="E30" s="42" t="n">
        <v>35</v>
      </c>
      <c r="F30" s="51" t="n">
        <v>0.28</v>
      </c>
      <c r="G30" s="51" t="n">
        <v>0.79</v>
      </c>
      <c r="H30" s="51" t="n">
        <v>0.18</v>
      </c>
      <c r="I30" s="50">
        <f>IF(ISNUMBER(H30),ABS(H30),"")</f>
        <v/>
      </c>
      <c r="J30" s="31" t="inlineStr">
        <is>
          <t>0.78 s / 0.72° / -0.28°</t>
        </is>
      </c>
    </row>
    <row r="31" ht="15" customHeight="1" s="32">
      <c r="A31" s="41" t="inlineStr">
        <is>
          <t>base</t>
        </is>
      </c>
      <c r="B31" s="41" t="inlineStr">
        <is>
          <t>0 g</t>
        </is>
      </c>
      <c r="C31" s="41" t="inlineStr">
        <is>
          <t>off</t>
        </is>
      </c>
      <c r="D31" s="41" t="n">
        <v>3</v>
      </c>
      <c r="E31" s="42" t="n">
        <v>35</v>
      </c>
      <c r="F31" s="51" t="n">
        <v>0.28</v>
      </c>
      <c r="G31" s="51" t="n">
        <v>0.79</v>
      </c>
      <c r="H31" s="51" t="n">
        <v>0.26</v>
      </c>
      <c r="I31" s="50">
        <f>IF(ISNUMBER(H31),ABS(H31),"")</f>
        <v/>
      </c>
      <c r="J31" s="31" t="inlineStr">
        <is>
          <t>0.78 s / 0.66° / -0.28°</t>
        </is>
      </c>
    </row>
    <row r="32" ht="15" customHeight="1" s="32">
      <c r="A32" s="41" t="inlineStr">
        <is>
          <t>shoulder</t>
        </is>
      </c>
      <c r="B32" s="41" t="inlineStr">
        <is>
          <t>0 g</t>
        </is>
      </c>
      <c r="C32" s="41" t="inlineStr">
        <is>
          <t>on</t>
        </is>
      </c>
      <c r="D32" s="41" t="n">
        <v>1</v>
      </c>
      <c r="E32" s="42" t="n">
        <v>20</v>
      </c>
      <c r="F32" s="51" t="n">
        <v>3.12</v>
      </c>
      <c r="G32" s="51" t="n">
        <v>1.2</v>
      </c>
      <c r="H32" s="51" t="n">
        <v>-0.55</v>
      </c>
      <c r="I32" s="50">
        <f>IF(ISNUMBER(H32),ABS(H32),"")</f>
        <v/>
      </c>
      <c r="J32" s="31" t="inlineStr">
        <is>
          <t>3.32 s / 1.19° / -1.12°</t>
        </is>
      </c>
    </row>
    <row r="33" ht="15" customHeight="1" s="32">
      <c r="A33" s="41" t="inlineStr">
        <is>
          <t>shoulder</t>
        </is>
      </c>
      <c r="B33" s="41" t="inlineStr">
        <is>
          <t>0 g</t>
        </is>
      </c>
      <c r="C33" s="41" t="inlineStr">
        <is>
          <t>on</t>
        </is>
      </c>
      <c r="D33" s="41" t="n">
        <v>2</v>
      </c>
      <c r="E33" s="42" t="n">
        <v>20</v>
      </c>
      <c r="F33" s="51" t="n">
        <v>2.62</v>
      </c>
      <c r="G33" s="51" t="n">
        <v>1.29</v>
      </c>
      <c r="H33" s="51" t="n">
        <v>-0.38</v>
      </c>
      <c r="I33" s="50">
        <f>IF(ISNUMBER(H33),ABS(H33),"")</f>
        <v/>
      </c>
      <c r="J33" s="31" t="inlineStr">
        <is>
          <t>0.4 s / 0.58° / -0.50°</t>
        </is>
      </c>
    </row>
    <row r="34" ht="15" customHeight="1" s="32">
      <c r="A34" s="41" t="inlineStr">
        <is>
          <t>shoulder</t>
        </is>
      </c>
      <c r="B34" s="41" t="inlineStr">
        <is>
          <t>0 g</t>
        </is>
      </c>
      <c r="C34" s="41" t="inlineStr">
        <is>
          <t>on</t>
        </is>
      </c>
      <c r="D34" s="41" t="n">
        <v>3</v>
      </c>
      <c r="E34" s="42" t="n">
        <v>20</v>
      </c>
      <c r="F34" s="51" t="n">
        <v>2.66</v>
      </c>
      <c r="G34" s="51" t="n">
        <v>1.29</v>
      </c>
      <c r="H34" s="51" t="n">
        <v>-0.5600000000000001</v>
      </c>
      <c r="I34" s="50">
        <f>IF(ISNUMBER(H34),ABS(H34),"")</f>
        <v/>
      </c>
      <c r="J34" s="31" t="inlineStr">
        <is>
          <t>0.4 s / 0.0° / +0.30°</t>
        </is>
      </c>
    </row>
    <row r="35" ht="15" customHeight="1" s="32">
      <c r="A35" s="41" t="inlineStr">
        <is>
          <t>shoulder</t>
        </is>
      </c>
      <c r="B35" s="41" t="inlineStr">
        <is>
          <t>0 g</t>
        </is>
      </c>
      <c r="C35" s="41" t="inlineStr">
        <is>
          <t>off</t>
        </is>
      </c>
      <c r="D35" s="41" t="n">
        <v>1</v>
      </c>
      <c r="E35" s="42" t="n">
        <v>20</v>
      </c>
      <c r="F35" s="51" t="n">
        <v>0.42</v>
      </c>
      <c r="G35" s="51" t="n">
        <v>0</v>
      </c>
      <c r="H35" s="51" t="n">
        <v>-2.4</v>
      </c>
      <c r="I35" s="50">
        <f>IF(ISNUMBER(H35),ABS(H35),"")</f>
        <v/>
      </c>
      <c r="J35" s="31" t="inlineStr">
        <is>
          <t>0.32 s / 0.0° / +0.30°</t>
        </is>
      </c>
    </row>
    <row r="36" ht="15" customHeight="1" s="32">
      <c r="A36" s="41" t="inlineStr">
        <is>
          <t>shoulder</t>
        </is>
      </c>
      <c r="B36" s="41" t="inlineStr">
        <is>
          <t>0 g</t>
        </is>
      </c>
      <c r="C36" s="41" t="inlineStr">
        <is>
          <t>off</t>
        </is>
      </c>
      <c r="D36" s="41" t="n">
        <v>2</v>
      </c>
      <c r="E36" s="42" t="n">
        <v>20</v>
      </c>
      <c r="F36" s="51" t="n">
        <v>0.4</v>
      </c>
      <c r="G36" s="51" t="n">
        <v>0</v>
      </c>
      <c r="H36" s="51" t="n">
        <v>-2.58</v>
      </c>
      <c r="I36" s="50">
        <f>IF(ISNUMBER(H36),ABS(H36),"")</f>
        <v/>
      </c>
      <c r="J36" s="31" t="inlineStr">
        <is>
          <t>0.36 s / 0.22° / -0.22°</t>
        </is>
      </c>
    </row>
    <row r="37" ht="15" customHeight="1" s="32">
      <c r="A37" s="41" t="inlineStr">
        <is>
          <t>shoulder</t>
        </is>
      </c>
      <c r="B37" s="41" t="inlineStr">
        <is>
          <t>0 g</t>
        </is>
      </c>
      <c r="C37" s="41" t="inlineStr">
        <is>
          <t>off</t>
        </is>
      </c>
      <c r="D37" s="41" t="n">
        <v>3</v>
      </c>
      <c r="E37" s="42" t="n">
        <v>20</v>
      </c>
      <c r="F37" s="51" t="n">
        <v>0.38</v>
      </c>
      <c r="G37" s="51" t="n">
        <v>0</v>
      </c>
      <c r="H37" s="51" t="n">
        <v>-2.4</v>
      </c>
      <c r="I37" s="50">
        <f>IF(ISNUMBER(H37),ABS(H37),"")</f>
        <v/>
      </c>
      <c r="J37" s="31" t="inlineStr">
        <is>
          <t>0.36 s / 0.22° / -0.22°</t>
        </is>
      </c>
    </row>
    <row r="38" ht="15" customHeight="1" s="32">
      <c r="A38" s="41" t="inlineStr">
        <is>
          <t>shoulder</t>
        </is>
      </c>
      <c r="B38" s="41" t="inlineStr">
        <is>
          <t>500 g</t>
        </is>
      </c>
      <c r="C38" s="41" t="inlineStr">
        <is>
          <t>on</t>
        </is>
      </c>
      <c r="D38" s="41" t="n">
        <v>1</v>
      </c>
      <c r="E38" s="42" t="n">
        <v>20</v>
      </c>
      <c r="F38" s="51" t="n">
        <v>0.46</v>
      </c>
      <c r="G38" s="51" t="n">
        <v>0</v>
      </c>
      <c r="H38" s="51" t="n">
        <v>-0.21</v>
      </c>
      <c r="I38" s="50">
        <f>IF(ISNUMBER(H38),ABS(H38),"")</f>
        <v/>
      </c>
      <c r="J38" s="31" t="inlineStr">
        <is>
          <t>4.12 s / 1.1° / -1.02°</t>
        </is>
      </c>
    </row>
    <row r="39" ht="15" customHeight="1" s="32">
      <c r="A39" s="41" t="inlineStr">
        <is>
          <t>shoulder</t>
        </is>
      </c>
      <c r="B39" s="41" t="inlineStr">
        <is>
          <t>500 g</t>
        </is>
      </c>
      <c r="C39" s="41" t="inlineStr">
        <is>
          <t>on</t>
        </is>
      </c>
      <c r="D39" s="41" t="n">
        <v>2</v>
      </c>
      <c r="E39" s="42" t="n">
        <v>20</v>
      </c>
      <c r="F39" s="51" t="n">
        <v>0.48</v>
      </c>
      <c r="G39" s="51" t="n">
        <v>0</v>
      </c>
      <c r="H39" s="51" t="n">
        <v>-0.47</v>
      </c>
      <c r="I39" s="50">
        <f>IF(ISNUMBER(H39),ABS(H39),"")</f>
        <v/>
      </c>
      <c r="J39" s="31" t="inlineStr">
        <is>
          <t>0.36 s / 0.0° / +0.48°</t>
        </is>
      </c>
    </row>
    <row r="40" ht="15" customHeight="1" s="32">
      <c r="A40" s="41" t="inlineStr">
        <is>
          <t>shoulder</t>
        </is>
      </c>
      <c r="B40" s="41" t="inlineStr">
        <is>
          <t>500 g</t>
        </is>
      </c>
      <c r="C40" s="41" t="inlineStr">
        <is>
          <t>on</t>
        </is>
      </c>
      <c r="D40" s="41" t="n">
        <v>3</v>
      </c>
      <c r="E40" s="42" t="n">
        <v>20</v>
      </c>
      <c r="F40" s="51" t="n">
        <v>0.58</v>
      </c>
      <c r="G40" s="51" t="n">
        <v>0</v>
      </c>
      <c r="H40" s="51" t="n">
        <v>-0.64</v>
      </c>
      <c r="I40" s="50">
        <f>IF(ISNUMBER(H40),ABS(H40),"")</f>
        <v/>
      </c>
      <c r="J40" s="31" t="inlineStr">
        <is>
          <t>0.38 s / 0.0° / +0.57°</t>
        </is>
      </c>
    </row>
    <row r="41" ht="15" customHeight="1" s="32">
      <c r="A41" s="41" t="inlineStr">
        <is>
          <t>shoulder</t>
        </is>
      </c>
      <c r="B41" s="41" t="inlineStr">
        <is>
          <t>500 g</t>
        </is>
      </c>
      <c r="C41" s="41" t="inlineStr">
        <is>
          <t>off</t>
        </is>
      </c>
      <c r="D41" s="41" t="n">
        <v>1</v>
      </c>
      <c r="E41" s="42" t="n">
        <v>20</v>
      </c>
      <c r="F41" s="51" t="n">
        <v>0.42</v>
      </c>
      <c r="G41" s="51" t="n">
        <v>0</v>
      </c>
      <c r="H41" s="51" t="n">
        <v>-5.65</v>
      </c>
      <c r="I41" s="50">
        <f>IF(ISNUMBER(H41),ABS(H41),"")</f>
        <v/>
      </c>
      <c r="J41" s="31" t="inlineStr">
        <is>
          <t>0.34 s / 2.86° / -2.69°</t>
        </is>
      </c>
    </row>
    <row r="42" ht="15" customHeight="1" s="32">
      <c r="A42" s="41" t="inlineStr">
        <is>
          <t>shoulder</t>
        </is>
      </c>
      <c r="B42" s="41" t="inlineStr">
        <is>
          <t>500 g</t>
        </is>
      </c>
      <c r="C42" s="41" t="inlineStr">
        <is>
          <t>off</t>
        </is>
      </c>
      <c r="D42" s="41" t="n">
        <v>2</v>
      </c>
      <c r="E42" s="42" t="n">
        <v>20</v>
      </c>
      <c r="F42" s="51" t="n">
        <v>0.44</v>
      </c>
      <c r="G42" s="51" t="n">
        <v>0</v>
      </c>
      <c r="H42" s="51" t="n">
        <v>-5.74</v>
      </c>
      <c r="I42" s="50">
        <f>IF(ISNUMBER(H42),ABS(H42),"")</f>
        <v/>
      </c>
      <c r="J42" s="31" t="inlineStr">
        <is>
          <t>0.34 s / 2.77° / -2.68°</t>
        </is>
      </c>
    </row>
    <row r="43" ht="15" customHeight="1" s="32">
      <c r="A43" s="41" t="inlineStr">
        <is>
          <t>shoulder</t>
        </is>
      </c>
      <c r="B43" s="41" t="inlineStr">
        <is>
          <t>500 g</t>
        </is>
      </c>
      <c r="C43" s="41" t="inlineStr">
        <is>
          <t>off</t>
        </is>
      </c>
      <c r="D43" s="41" t="n">
        <v>3</v>
      </c>
      <c r="E43" s="42" t="n">
        <v>20</v>
      </c>
      <c r="F43" s="51" t="n">
        <v>0.44</v>
      </c>
      <c r="G43" s="51" t="n">
        <v>0</v>
      </c>
      <c r="H43" s="51" t="n">
        <v>-5.57</v>
      </c>
      <c r="I43" s="50">
        <f>IF(ISNUMBER(H43),ABS(H43),"")</f>
        <v/>
      </c>
      <c r="J43" s="31" t="inlineStr">
        <is>
          <t>0.36 s / 3.21° / -3.04°</t>
        </is>
      </c>
    </row>
    <row r="44" ht="15" customHeight="1" s="32">
      <c r="A44" s="41" t="inlineStr">
        <is>
          <t>elbow</t>
        </is>
      </c>
      <c r="B44" s="41" t="inlineStr">
        <is>
          <t>0 g</t>
        </is>
      </c>
      <c r="C44" s="41" t="inlineStr">
        <is>
          <t>on</t>
        </is>
      </c>
      <c r="D44" s="41" t="n">
        <v>1</v>
      </c>
      <c r="E44" s="42" t="n">
        <v>20</v>
      </c>
      <c r="F44" s="51" t="n">
        <v>0.36</v>
      </c>
      <c r="G44" s="51" t="n">
        <v>0.17</v>
      </c>
      <c r="H44" s="51" t="n">
        <v>0.13</v>
      </c>
      <c r="I44" s="50">
        <f>IF(ISNUMBER(H44),ABS(H44),"")</f>
        <v/>
      </c>
      <c r="J44" s="31" t="inlineStr">
        <is>
          <t>0.24 s / 0.11° / +0.04°</t>
        </is>
      </c>
    </row>
    <row r="45" ht="15" customHeight="1" s="32">
      <c r="A45" s="41" t="inlineStr">
        <is>
          <t>elbow</t>
        </is>
      </c>
      <c r="B45" s="41" t="inlineStr">
        <is>
          <t>0 g</t>
        </is>
      </c>
      <c r="C45" s="41" t="inlineStr">
        <is>
          <t>on</t>
        </is>
      </c>
      <c r="D45" s="41" t="n">
        <v>2</v>
      </c>
      <c r="E45" s="42" t="n">
        <v>20</v>
      </c>
      <c r="F45" s="51" t="n">
        <v>0.28</v>
      </c>
      <c r="G45" s="51" t="n">
        <v>0.5</v>
      </c>
      <c r="H45" s="51" t="n">
        <v>0.15</v>
      </c>
      <c r="I45" s="50">
        <f>IF(ISNUMBER(H45),ABS(H45),"")</f>
        <v/>
      </c>
      <c r="J45" s="31" t="inlineStr">
        <is>
          <t>0.24 s / 0.0° / +0.21°</t>
        </is>
      </c>
    </row>
    <row r="46" ht="15" customHeight="1" s="32">
      <c r="A46" s="41" t="inlineStr">
        <is>
          <t>elbow</t>
        </is>
      </c>
      <c r="B46" s="41" t="inlineStr">
        <is>
          <t>0 g</t>
        </is>
      </c>
      <c r="C46" s="41" t="inlineStr">
        <is>
          <t>on</t>
        </is>
      </c>
      <c r="D46" s="41" t="n">
        <v>3</v>
      </c>
      <c r="E46" s="42" t="n">
        <v>20</v>
      </c>
      <c r="F46" s="51" t="n">
        <v>0.36</v>
      </c>
      <c r="G46" s="51" t="n">
        <v>0.5</v>
      </c>
      <c r="H46" s="51" t="n">
        <v>0.32</v>
      </c>
      <c r="I46" s="50">
        <f>IF(ISNUMBER(H46),ABS(H46),"")</f>
        <v/>
      </c>
      <c r="J46" s="31" t="inlineStr">
        <is>
          <t>0.24 s / 0.07° / +0.13°</t>
        </is>
      </c>
    </row>
    <row r="47" ht="15" customHeight="1" s="32">
      <c r="A47" s="41" t="inlineStr">
        <is>
          <t>elbow</t>
        </is>
      </c>
      <c r="B47" s="41" t="inlineStr">
        <is>
          <t>0 g</t>
        </is>
      </c>
      <c r="C47" s="41" t="inlineStr">
        <is>
          <t>off</t>
        </is>
      </c>
      <c r="D47" s="41" t="n">
        <v>1</v>
      </c>
      <c r="E47" s="42" t="n">
        <v>20</v>
      </c>
      <c r="F47" s="51" t="n">
        <v>0.26</v>
      </c>
      <c r="G47" s="51" t="n">
        <v>0</v>
      </c>
      <c r="H47" s="51" t="n">
        <v>-3.72</v>
      </c>
      <c r="I47" s="50">
        <f>IF(ISNUMBER(H47),ABS(H47),"")</f>
        <v/>
      </c>
      <c r="J47" s="31" t="inlineStr">
        <is>
          <t>0.22 s / 3.02° / -2.77°</t>
        </is>
      </c>
    </row>
    <row r="48" ht="15" customHeight="1" s="32">
      <c r="A48" s="41" t="inlineStr">
        <is>
          <t>elbow</t>
        </is>
      </c>
      <c r="B48" s="41" t="inlineStr">
        <is>
          <t>0 g</t>
        </is>
      </c>
      <c r="C48" s="41" t="inlineStr">
        <is>
          <t>off</t>
        </is>
      </c>
      <c r="D48" s="41" t="n">
        <v>2</v>
      </c>
      <c r="E48" s="42" t="n">
        <v>20</v>
      </c>
      <c r="F48" s="51" t="n">
        <v>0.26</v>
      </c>
      <c r="G48" s="51" t="n">
        <v>0</v>
      </c>
      <c r="H48" s="51" t="n">
        <v>-3.49</v>
      </c>
      <c r="I48" s="50">
        <f>IF(ISNUMBER(H48),ABS(H48),"")</f>
        <v/>
      </c>
      <c r="J48" s="31" t="inlineStr">
        <is>
          <t>0.22 s / 3.15° / -2.86°</t>
        </is>
      </c>
    </row>
    <row r="49" ht="15" customHeight="1" s="32">
      <c r="A49" s="41" t="inlineStr">
        <is>
          <t>elbow</t>
        </is>
      </c>
      <c r="B49" s="41" t="inlineStr">
        <is>
          <t>0 g</t>
        </is>
      </c>
      <c r="C49" s="41" t="inlineStr">
        <is>
          <t>off</t>
        </is>
      </c>
      <c r="D49" s="41" t="n">
        <v>3</v>
      </c>
      <c r="E49" s="42" t="n">
        <v>20</v>
      </c>
      <c r="F49" s="51" t="n">
        <v>0.26</v>
      </c>
      <c r="G49" s="51" t="n">
        <v>0</v>
      </c>
      <c r="H49" s="51" t="n">
        <v>-3.63</v>
      </c>
      <c r="I49" s="50">
        <f>IF(ISNUMBER(H49),ABS(H49),"")</f>
        <v/>
      </c>
      <c r="J49" s="31" t="inlineStr">
        <is>
          <t>0.22 s / 3.1° / -2.77°</t>
        </is>
      </c>
    </row>
    <row r="50" ht="15" customHeight="1" s="32">
      <c r="A50" s="41" t="inlineStr">
        <is>
          <t>elbow</t>
        </is>
      </c>
      <c r="B50" s="41" t="inlineStr">
        <is>
          <t>500 g</t>
        </is>
      </c>
      <c r="C50" s="41" t="inlineStr">
        <is>
          <t>on</t>
        </is>
      </c>
      <c r="D50" s="41" t="n">
        <v>1</v>
      </c>
      <c r="E50" s="42" t="n">
        <v>20</v>
      </c>
      <c r="F50" s="51" t="n">
        <v>0.5</v>
      </c>
      <c r="G50" s="51" t="n">
        <v>1.29</v>
      </c>
      <c r="H50" s="51" t="n">
        <v>0.27</v>
      </c>
      <c r="I50" s="50">
        <f>IF(ISNUMBER(H50),ABS(H50),"")</f>
        <v/>
      </c>
      <c r="J50" s="31" t="inlineStr">
        <is>
          <t>0.38 s / 1.35° / -0.14°</t>
        </is>
      </c>
    </row>
    <row r="51" ht="15" customHeight="1" s="32">
      <c r="A51" s="41" t="inlineStr">
        <is>
          <t>elbow</t>
        </is>
      </c>
      <c r="B51" s="41" t="inlineStr">
        <is>
          <t>500 g</t>
        </is>
      </c>
      <c r="C51" s="41" t="inlineStr">
        <is>
          <t>on</t>
        </is>
      </c>
      <c r="D51" s="41" t="n">
        <v>2</v>
      </c>
      <c r="E51" s="42" t="n">
        <v>20</v>
      </c>
      <c r="F51" s="51" t="n">
        <v>1.74</v>
      </c>
      <c r="G51" s="51" t="n">
        <v>1.03</v>
      </c>
      <c r="H51" s="51" t="n">
        <v>-0.03</v>
      </c>
      <c r="I51" s="50">
        <f>IF(ISNUMBER(H51),ABS(H51),"")</f>
        <v/>
      </c>
      <c r="J51" s="31" t="inlineStr">
        <is>
          <t>0.64 s / 1.72° / -0.33°</t>
        </is>
      </c>
    </row>
    <row r="52" ht="15" customHeight="1" s="32">
      <c r="A52" s="41" t="inlineStr">
        <is>
          <t>elbow</t>
        </is>
      </c>
      <c r="B52" s="41" t="inlineStr">
        <is>
          <t>500 g</t>
        </is>
      </c>
      <c r="C52" s="41" t="inlineStr">
        <is>
          <t>on</t>
        </is>
      </c>
      <c r="D52" s="41" t="n">
        <v>3</v>
      </c>
      <c r="E52" s="42" t="n">
        <v>20</v>
      </c>
      <c r="F52" s="51" t="n">
        <v>0.76</v>
      </c>
      <c r="G52" s="51" t="n">
        <v>1.38</v>
      </c>
      <c r="H52" s="51" t="n">
        <v>0.23</v>
      </c>
      <c r="I52" s="50">
        <f>IF(ISNUMBER(H52),ABS(H52),"")</f>
        <v/>
      </c>
      <c r="J52" s="31" t="inlineStr">
        <is>
          <t>0.64 s / 1.72° / -0.31°</t>
        </is>
      </c>
    </row>
    <row r="53" ht="15" customHeight="1" s="32">
      <c r="A53" s="41" t="inlineStr">
        <is>
          <t>elbow</t>
        </is>
      </c>
      <c r="B53" s="41" t="inlineStr">
        <is>
          <t>500 g</t>
        </is>
      </c>
      <c r="C53" s="41" t="inlineStr">
        <is>
          <t>off</t>
        </is>
      </c>
      <c r="D53" s="41" t="n">
        <v>1</v>
      </c>
      <c r="E53" s="42" t="n">
        <v>20</v>
      </c>
      <c r="F53" s="51" t="n">
        <v>0.3</v>
      </c>
      <c r="G53" s="51" t="n">
        <v>0</v>
      </c>
      <c r="H53" s="51" t="n">
        <v>-4.07</v>
      </c>
      <c r="I53" s="50">
        <f>IF(ISNUMBER(H53),ABS(H53),"")</f>
        <v/>
      </c>
      <c r="J53" s="31" t="inlineStr">
        <is>
          <t>0.38 s / 4.97° / -4.01°</t>
        </is>
      </c>
    </row>
    <row r="54" ht="15" customHeight="1" s="32">
      <c r="A54" s="41" t="inlineStr">
        <is>
          <t>elbow</t>
        </is>
      </c>
      <c r="B54" s="41" t="inlineStr">
        <is>
          <t>500 g</t>
        </is>
      </c>
      <c r="C54" s="41" t="inlineStr">
        <is>
          <t>off</t>
        </is>
      </c>
      <c r="D54" s="41" t="n">
        <v>2</v>
      </c>
      <c r="E54" s="42" t="n">
        <v>20</v>
      </c>
      <c r="F54" s="51" t="n">
        <v>0.3</v>
      </c>
      <c r="G54" s="51" t="n">
        <v>0</v>
      </c>
      <c r="H54" s="51" t="n">
        <v>-4.34</v>
      </c>
      <c r="I54" s="50">
        <f>IF(ISNUMBER(H54),ABS(H54),"")</f>
        <v/>
      </c>
      <c r="J54" s="31" t="inlineStr">
        <is>
          <t>0.38 s / 4.97° / -4.09°</t>
        </is>
      </c>
    </row>
    <row r="55" ht="15" customHeight="1" s="32">
      <c r="A55" s="41" t="inlineStr">
        <is>
          <t>elbow</t>
        </is>
      </c>
      <c r="B55" s="41" t="inlineStr">
        <is>
          <t>500 g</t>
        </is>
      </c>
      <c r="C55" s="41" t="inlineStr">
        <is>
          <t>off</t>
        </is>
      </c>
      <c r="D55" s="41" t="n">
        <v>3</v>
      </c>
      <c r="E55" s="42" t="n">
        <v>20</v>
      </c>
      <c r="F55" s="51" t="n">
        <v>0.3</v>
      </c>
      <c r="G55" s="51" t="n">
        <v>0</v>
      </c>
      <c r="H55" s="51" t="n">
        <v>-4.6</v>
      </c>
      <c r="I55" s="50">
        <f>IF(ISNUMBER(H55),ABS(H55),"")</f>
        <v/>
      </c>
      <c r="J55" s="31" t="inlineStr">
        <is>
          <t>0.38 s / 5.1° / -4.18°</t>
        </is>
      </c>
    </row>
    <row r="56" ht="15" customHeight="1" s="32">
      <c r="A56" s="41" t="inlineStr">
        <is>
          <t>wrist</t>
        </is>
      </c>
      <c r="B56" s="41" t="inlineStr">
        <is>
          <t>0 g</t>
        </is>
      </c>
      <c r="C56" s="41" t="inlineStr">
        <is>
          <t>on</t>
        </is>
      </c>
      <c r="D56" s="41" t="n">
        <v>1</v>
      </c>
      <c r="E56" s="42" t="n">
        <v>20</v>
      </c>
      <c r="F56" s="51" t="n">
        <v>0.24</v>
      </c>
      <c r="G56" s="51" t="n">
        <v>0.15</v>
      </c>
      <c r="H56" s="51" t="n">
        <v>0.15</v>
      </c>
      <c r="I56" s="50">
        <f>IF(ISNUMBER(H56),ABS(H56),"")</f>
        <v/>
      </c>
      <c r="J56" s="31" t="inlineStr">
        <is>
          <t>0.32 s / 0.31° / -0.31°</t>
        </is>
      </c>
    </row>
    <row r="57" ht="15" customHeight="1" s="32">
      <c r="A57" s="41" t="inlineStr">
        <is>
          <t>wrist</t>
        </is>
      </c>
      <c r="B57" s="41" t="inlineStr">
        <is>
          <t>0 g</t>
        </is>
      </c>
      <c r="C57" s="41" t="inlineStr">
        <is>
          <t>on</t>
        </is>
      </c>
      <c r="D57" s="41" t="n">
        <v>2</v>
      </c>
      <c r="E57" s="42" t="n">
        <v>20</v>
      </c>
      <c r="F57" s="51" t="n">
        <v>2.76</v>
      </c>
      <c r="G57" s="51" t="n">
        <v>0.41</v>
      </c>
      <c r="H57" s="51" t="n">
        <v>-0.21</v>
      </c>
      <c r="I57" s="50">
        <f>IF(ISNUMBER(H57),ABS(H57),"")</f>
        <v/>
      </c>
      <c r="J57" s="31" t="inlineStr">
        <is>
          <t>0.68 s / 0.75° / -0.14°</t>
        </is>
      </c>
    </row>
    <row r="58" ht="15" customHeight="1" s="32">
      <c r="A58" s="41" t="inlineStr">
        <is>
          <t>wrist</t>
        </is>
      </c>
      <c r="B58" s="41" t="inlineStr">
        <is>
          <t>0 g</t>
        </is>
      </c>
      <c r="C58" s="41" t="inlineStr">
        <is>
          <t>on</t>
        </is>
      </c>
      <c r="D58" s="41" t="n">
        <v>3</v>
      </c>
      <c r="E58" s="42" t="n">
        <v>20</v>
      </c>
      <c r="F58" s="51" t="n">
        <v>1.8</v>
      </c>
      <c r="G58" s="51" t="n">
        <v>0.41</v>
      </c>
      <c r="H58" s="51" t="n">
        <v>-0.21</v>
      </c>
      <c r="I58" s="50">
        <f>IF(ISNUMBER(H58),ABS(H58),"")</f>
        <v/>
      </c>
      <c r="J58" s="31" t="inlineStr">
        <is>
          <t>0.84 s / 0.66° / -0.05°</t>
        </is>
      </c>
    </row>
    <row r="59" ht="15" customHeight="1" s="32">
      <c r="A59" s="41" t="inlineStr">
        <is>
          <t>wrist</t>
        </is>
      </c>
      <c r="B59" s="41" t="inlineStr">
        <is>
          <t>0 g</t>
        </is>
      </c>
      <c r="C59" s="41" t="inlineStr">
        <is>
          <t>off</t>
        </is>
      </c>
      <c r="D59" s="41" t="n">
        <v>1</v>
      </c>
      <c r="E59" s="42" t="n">
        <v>20</v>
      </c>
      <c r="F59" s="51" t="n">
        <v>0.26</v>
      </c>
      <c r="G59" s="51" t="n">
        <v>0</v>
      </c>
      <c r="H59" s="51" t="n">
        <v>-1</v>
      </c>
      <c r="I59" s="50">
        <f>IF(ISNUMBER(H59),ABS(H59),"")</f>
        <v/>
      </c>
      <c r="J59" s="31" t="inlineStr">
        <is>
          <t>0.26 s / 0.4° / -0.40°</t>
        </is>
      </c>
    </row>
    <row r="60" ht="15" customHeight="1" s="32">
      <c r="A60" s="41" t="inlineStr">
        <is>
          <t>wrist</t>
        </is>
      </c>
      <c r="B60" s="41" t="inlineStr">
        <is>
          <t>0 g</t>
        </is>
      </c>
      <c r="C60" s="41" t="inlineStr">
        <is>
          <t>off</t>
        </is>
      </c>
      <c r="D60" s="41" t="n">
        <v>2</v>
      </c>
      <c r="E60" s="42" t="n">
        <v>20</v>
      </c>
      <c r="F60" s="51" t="n">
        <v>0.24</v>
      </c>
      <c r="G60" s="51" t="n">
        <v>0</v>
      </c>
      <c r="H60" s="51" t="n">
        <v>-1.79</v>
      </c>
      <c r="I60" s="50">
        <f>IF(ISNUMBER(H60),ABS(H60),"")</f>
        <v/>
      </c>
      <c r="J60" s="31" t="inlineStr">
        <is>
          <t>0.26 s / 0.31° / -0.31°</t>
        </is>
      </c>
    </row>
    <row r="61" ht="15" customHeight="1" s="32">
      <c r="A61" s="41" t="inlineStr">
        <is>
          <t>wrist</t>
        </is>
      </c>
      <c r="B61" s="41" t="inlineStr">
        <is>
          <t>0 g</t>
        </is>
      </c>
      <c r="C61" s="41" t="inlineStr">
        <is>
          <t>off</t>
        </is>
      </c>
      <c r="D61" s="41" t="n">
        <v>3</v>
      </c>
      <c r="E61" s="42" t="n">
        <v>20</v>
      </c>
      <c r="F61" s="51" t="n">
        <v>0.22</v>
      </c>
      <c r="G61" s="51" t="n">
        <v>0</v>
      </c>
      <c r="H61" s="51" t="n">
        <v>-1.41</v>
      </c>
      <c r="I61" s="50">
        <f>IF(ISNUMBER(H61),ABS(H61),"")</f>
        <v/>
      </c>
      <c r="J61" s="31" t="inlineStr">
        <is>
          <t>0.26 s / 0.49° / -0.49°</t>
        </is>
      </c>
    </row>
    <row r="62" ht="15" customHeight="1" s="32">
      <c r="A62" s="41" t="inlineStr">
        <is>
          <t>wrist</t>
        </is>
      </c>
      <c r="B62" s="41" t="inlineStr">
        <is>
          <t>500 g</t>
        </is>
      </c>
      <c r="C62" s="41" t="inlineStr">
        <is>
          <t>on</t>
        </is>
      </c>
      <c r="D62" s="41" t="n">
        <v>1</v>
      </c>
      <c r="E62" s="42" t="n">
        <v>20</v>
      </c>
      <c r="F62" s="51" t="n">
        <v>0.28</v>
      </c>
      <c r="G62" s="51" t="n">
        <v>0.39</v>
      </c>
      <c r="H62" s="51" t="n">
        <v>0.35</v>
      </c>
      <c r="I62" s="50">
        <f>IF(ISNUMBER(H62),ABS(H62),"")</f>
        <v/>
      </c>
      <c r="J62" s="31" t="inlineStr">
        <is>
          <t>0.4 s / 0.84° / -0.14°</t>
        </is>
      </c>
    </row>
    <row r="63" ht="15" customHeight="1" s="32">
      <c r="A63" s="41" t="inlineStr">
        <is>
          <t>wrist</t>
        </is>
      </c>
      <c r="B63" s="41" t="inlineStr">
        <is>
          <t>500 g</t>
        </is>
      </c>
      <c r="C63" s="41" t="inlineStr">
        <is>
          <t>on</t>
        </is>
      </c>
      <c r="D63" s="41" t="n">
        <v>2</v>
      </c>
      <c r="E63" s="42" t="n">
        <v>20</v>
      </c>
      <c r="F63" s="51" t="n">
        <v>0.48</v>
      </c>
      <c r="G63" s="51" t="n">
        <v>1.29</v>
      </c>
      <c r="H63" s="51" t="n">
        <v>0.11</v>
      </c>
      <c r="I63" s="50">
        <f>IF(ISNUMBER(H63),ABS(H63),"")</f>
        <v/>
      </c>
      <c r="J63" s="31" t="inlineStr">
        <is>
          <t>0.4 s / 0.97° / -0.31°</t>
        </is>
      </c>
    </row>
    <row r="64" ht="15" customHeight="1" s="32">
      <c r="A64" s="41" t="inlineStr">
        <is>
          <t>wrist</t>
        </is>
      </c>
      <c r="B64" s="41" t="inlineStr">
        <is>
          <t>500 g</t>
        </is>
      </c>
      <c r="C64" s="41" t="inlineStr">
        <is>
          <t>on</t>
        </is>
      </c>
      <c r="D64" s="41" t="n">
        <v>3</v>
      </c>
      <c r="E64" s="42" t="n">
        <v>20</v>
      </c>
      <c r="F64" s="51" t="n">
        <v>0.54</v>
      </c>
      <c r="G64" s="51" t="n">
        <v>1.11</v>
      </c>
      <c r="H64" s="51" t="n">
        <v>0.06</v>
      </c>
      <c r="I64" s="50">
        <f>IF(ISNUMBER(H64),ABS(H64),"")</f>
        <v/>
      </c>
      <c r="J64" s="31" t="inlineStr">
        <is>
          <t>0.28 s / 0.66° / -0.31°</t>
        </is>
      </c>
    </row>
    <row r="65" ht="15" customHeight="1" s="32">
      <c r="A65" s="41" t="inlineStr">
        <is>
          <t>wrist</t>
        </is>
      </c>
      <c r="B65" s="41" t="inlineStr">
        <is>
          <t>500 g</t>
        </is>
      </c>
      <c r="C65" s="41" t="inlineStr">
        <is>
          <t>off</t>
        </is>
      </c>
      <c r="D65" s="41" t="n">
        <v>1</v>
      </c>
      <c r="E65" s="42" t="n">
        <v>20</v>
      </c>
      <c r="F65" s="51" t="n">
        <v>0.28</v>
      </c>
      <c r="G65" s="51" t="n">
        <v>0</v>
      </c>
      <c r="H65" s="51" t="n">
        <v>-1.61</v>
      </c>
      <c r="I65" s="50">
        <f>IF(ISNUMBER(H65),ABS(H65),"")</f>
        <v/>
      </c>
      <c r="J65" s="31" t="inlineStr">
        <is>
          <t>0.56 s / 1.98° / -1.95°</t>
        </is>
      </c>
    </row>
    <row r="66" ht="15" customHeight="1" s="32">
      <c r="A66" s="41" t="inlineStr">
        <is>
          <t>wrist</t>
        </is>
      </c>
      <c r="B66" s="41" t="inlineStr">
        <is>
          <t>500 g</t>
        </is>
      </c>
      <c r="C66" s="41" t="inlineStr">
        <is>
          <t>off</t>
        </is>
      </c>
      <c r="D66" s="41" t="n">
        <v>2</v>
      </c>
      <c r="E66" s="42" t="n">
        <v>20</v>
      </c>
      <c r="F66" s="51" t="n">
        <v>0.3</v>
      </c>
      <c r="G66" s="51" t="n">
        <v>0</v>
      </c>
      <c r="H66" s="51" t="n">
        <v>-1.88</v>
      </c>
      <c r="I66" s="50">
        <f>IF(ISNUMBER(H66),ABS(H66),"")</f>
        <v/>
      </c>
      <c r="J66" s="31" t="inlineStr">
        <is>
          <t>0.26 s / 1.72° / -1.54°</t>
        </is>
      </c>
    </row>
    <row r="67" ht="15" customHeight="1" s="32">
      <c r="A67" s="41" t="inlineStr">
        <is>
          <t>wrist</t>
        </is>
      </c>
      <c r="B67" s="41" t="inlineStr">
        <is>
          <t>500 g</t>
        </is>
      </c>
      <c r="C67" s="41" t="inlineStr">
        <is>
          <t>off</t>
        </is>
      </c>
      <c r="D67" s="41" t="n">
        <v>3</v>
      </c>
      <c r="E67" s="42" t="n">
        <v>20</v>
      </c>
      <c r="F67" s="51" t="n">
        <v>1.42</v>
      </c>
      <c r="G67" s="51" t="n">
        <v>0</v>
      </c>
      <c r="H67" s="51" t="n">
        <v>-1.7</v>
      </c>
      <c r="I67" s="50">
        <f>IF(ISNUMBER(H67),ABS(H67),"")</f>
        <v/>
      </c>
      <c r="J67" s="31" t="inlineStr">
        <is>
          <t>0.24 s / 1.63° / -1.37°</t>
        </is>
      </c>
    </row>
    <row r="69" ht="15" customHeight="1" s="32">
      <c r="A69" s="38" t="inlineStr">
        <is>
          <t>Summary: mean |final error| (°)</t>
        </is>
      </c>
    </row>
    <row r="70" ht="30" customHeight="1" s="32">
      <c r="A70" s="35" t="inlineStr">
        <is>
          <t>Joint</t>
        </is>
      </c>
      <c r="B70" s="35" t="inlineStr">
        <is>
          <t>Load</t>
        </is>
      </c>
      <c r="C70" s="35" t="inlineStr">
        <is>
          <t>Trim on</t>
        </is>
      </c>
      <c r="D70" s="35" t="inlineStr">
        <is>
          <t>Trim off</t>
        </is>
      </c>
      <c r="E70" s="35" t="inlineStr">
        <is>
          <t>Improvement</t>
        </is>
      </c>
      <c r="F70" s="35" t="inlineStr">
        <is>
          <t>Mean settle on (s)</t>
        </is>
      </c>
      <c r="G70" s="35" t="inlineStr">
        <is>
          <t>Mean settle off (s)</t>
        </is>
      </c>
    </row>
    <row r="71" ht="15" customHeight="1" s="32">
      <c r="A71" s="41" t="inlineStr">
        <is>
          <t>base</t>
        </is>
      </c>
      <c r="B71" s="41" t="inlineStr">
        <is>
          <t>0 g</t>
        </is>
      </c>
      <c r="C71" s="50">
        <f>IFERROR(AVERAGEIFS($I$26:$I$67,$A$26:$A$67,"base",$B$26:$B$67,"0 g",$C$26:$C$67,"on"),"")</f>
        <v/>
      </c>
      <c r="D71" s="50">
        <f>IFERROR(AVERAGEIFS($I$26:$I$67,$A$26:$A$67,"base",$B$26:$B$67,"0 g",$C$26:$C$67,"off"),"")</f>
        <v/>
      </c>
      <c r="E71" s="50">
        <f>IF(AND(ISNUMBER(C71),ISNUMBER(D71)),D71-C71,"")</f>
        <v/>
      </c>
      <c r="F71" s="50">
        <f>IFERROR(AVERAGEIFS($F$26:$F$67,$A$26:$A$67,"base",$B$26:$B$67,"0 g",$C$26:$C$67,"on"),"")</f>
        <v/>
      </c>
      <c r="G71" s="50">
        <f>IFERROR(AVERAGEIFS($F$26:$F$67,$A$26:$A$67,"base",$B$26:$B$67,"0 g",$C$26:$C$67,"off"),"")</f>
        <v/>
      </c>
    </row>
    <row r="72" ht="15" customHeight="1" s="32">
      <c r="A72" s="41" t="inlineStr">
        <is>
          <t>shoulder</t>
        </is>
      </c>
      <c r="B72" s="41" t="inlineStr">
        <is>
          <t>0 g</t>
        </is>
      </c>
      <c r="C72" s="50">
        <f>IFERROR(AVERAGEIFS($I$26:$I$67,$A$26:$A$67,"shoulder",$B$26:$B$67,"0 g",$C$26:$C$67,"on"),"")</f>
        <v/>
      </c>
      <c r="D72" s="50">
        <f>IFERROR(AVERAGEIFS($I$26:$I$67,$A$26:$A$67,"shoulder",$B$26:$B$67,"0 g",$C$26:$C$67,"off"),"")</f>
        <v/>
      </c>
      <c r="E72" s="50">
        <f>IF(AND(ISNUMBER(C72),ISNUMBER(D72)),D72-C72,"")</f>
        <v/>
      </c>
      <c r="F72" s="50">
        <f>IFERROR(AVERAGEIFS($F$26:$F$67,$A$26:$A$67,"shoulder",$B$26:$B$67,"0 g",$C$26:$C$67,"on"),"")</f>
        <v/>
      </c>
      <c r="G72" s="50">
        <f>IFERROR(AVERAGEIFS($F$26:$F$67,$A$26:$A$67,"shoulder",$B$26:$B$67,"0 g",$C$26:$C$67,"off"),"")</f>
        <v/>
      </c>
    </row>
    <row r="73" ht="15" customHeight="1" s="32">
      <c r="A73" s="41" t="inlineStr">
        <is>
          <t>shoulder</t>
        </is>
      </c>
      <c r="B73" s="41" t="inlineStr">
        <is>
          <t>500 g</t>
        </is>
      </c>
      <c r="C73" s="50">
        <f>IFERROR(AVERAGEIFS($I$26:$I$67,$A$26:$A$67,"shoulder",$B$26:$B$67,"500 g",$C$26:$C$67,"on"),"")</f>
        <v/>
      </c>
      <c r="D73" s="50">
        <f>IFERROR(AVERAGEIFS($I$26:$I$67,$A$26:$A$67,"shoulder",$B$26:$B$67,"500 g",$C$26:$C$67,"off"),"")</f>
        <v/>
      </c>
      <c r="E73" s="50">
        <f>IF(AND(ISNUMBER(C73),ISNUMBER(D73)),D73-C73,"")</f>
        <v/>
      </c>
      <c r="F73" s="50">
        <f>IFERROR(AVERAGEIFS($F$26:$F$67,$A$26:$A$67,"shoulder",$B$26:$B$67,"500 g",$C$26:$C$67,"on"),"")</f>
        <v/>
      </c>
      <c r="G73" s="50">
        <f>IFERROR(AVERAGEIFS($F$26:$F$67,$A$26:$A$67,"shoulder",$B$26:$B$67,"500 g",$C$26:$C$67,"off"),"")</f>
        <v/>
      </c>
    </row>
    <row r="74" ht="15" customHeight="1" s="32">
      <c r="A74" s="41" t="inlineStr">
        <is>
          <t>elbow</t>
        </is>
      </c>
      <c r="B74" s="41" t="inlineStr">
        <is>
          <t>0 g</t>
        </is>
      </c>
      <c r="C74" s="50">
        <f>IFERROR(AVERAGEIFS($I$26:$I$67,$A$26:$A$67,"elbow",$B$26:$B$67,"0 g",$C$26:$C$67,"on"),"")</f>
        <v/>
      </c>
      <c r="D74" s="50">
        <f>IFERROR(AVERAGEIFS($I$26:$I$67,$A$26:$A$67,"elbow",$B$26:$B$67,"0 g",$C$26:$C$67,"off"),"")</f>
        <v/>
      </c>
      <c r="E74" s="50">
        <f>IF(AND(ISNUMBER(C74),ISNUMBER(D74)),D74-C74,"")</f>
        <v/>
      </c>
      <c r="F74" s="50">
        <f>IFERROR(AVERAGEIFS($F$26:$F$67,$A$26:$A$67,"elbow",$B$26:$B$67,"0 g",$C$26:$C$67,"on"),"")</f>
        <v/>
      </c>
      <c r="G74" s="50">
        <f>IFERROR(AVERAGEIFS($F$26:$F$67,$A$26:$A$67,"elbow",$B$26:$B$67,"0 g",$C$26:$C$67,"off"),"")</f>
        <v/>
      </c>
    </row>
    <row r="75" ht="15" customHeight="1" s="32">
      <c r="A75" s="41" t="inlineStr">
        <is>
          <t>elbow</t>
        </is>
      </c>
      <c r="B75" s="41" t="inlineStr">
        <is>
          <t>500 g</t>
        </is>
      </c>
      <c r="C75" s="50">
        <f>IFERROR(AVERAGEIFS($I$26:$I$67,$A$26:$A$67,"elbow",$B$26:$B$67,"500 g",$C$26:$C$67,"on"),"")</f>
        <v/>
      </c>
      <c r="D75" s="50">
        <f>IFERROR(AVERAGEIFS($I$26:$I$67,$A$26:$A$67,"elbow",$B$26:$B$67,"500 g",$C$26:$C$67,"off"),"")</f>
        <v/>
      </c>
      <c r="E75" s="50">
        <f>IF(AND(ISNUMBER(C75),ISNUMBER(D75)),D75-C75,"")</f>
        <v/>
      </c>
      <c r="F75" s="50">
        <f>IFERROR(AVERAGEIFS($F$26:$F$67,$A$26:$A$67,"elbow",$B$26:$B$67,"500 g",$C$26:$C$67,"on"),"")</f>
        <v/>
      </c>
      <c r="G75" s="50">
        <f>IFERROR(AVERAGEIFS($F$26:$F$67,$A$26:$A$67,"elbow",$B$26:$B$67,"500 g",$C$26:$C$67,"off"),"")</f>
        <v/>
      </c>
    </row>
    <row r="76" ht="15" customHeight="1" s="32">
      <c r="A76" s="41" t="inlineStr">
        <is>
          <t>wrist</t>
        </is>
      </c>
      <c r="B76" s="41" t="inlineStr">
        <is>
          <t>0 g</t>
        </is>
      </c>
      <c r="C76" s="50">
        <f>IFERROR(AVERAGEIFS($I$26:$I$67,$A$26:$A$67,"wrist",$B$26:$B$67,"0 g",$C$26:$C$67,"on"),"")</f>
        <v/>
      </c>
      <c r="D76" s="50">
        <f>IFERROR(AVERAGEIFS($I$26:$I$67,$A$26:$A$67,"wrist",$B$26:$B$67,"0 g",$C$26:$C$67,"off"),"")</f>
        <v/>
      </c>
      <c r="E76" s="50">
        <f>IF(AND(ISNUMBER(C76),ISNUMBER(D76)),D76-C76,"")</f>
        <v/>
      </c>
      <c r="F76" s="50">
        <f>IFERROR(AVERAGEIFS($F$26:$F$67,$A$26:$A$67,"wrist",$B$26:$B$67,"0 g",$C$26:$C$67,"on"),"")</f>
        <v/>
      </c>
      <c r="G76" s="50">
        <f>IFERROR(AVERAGEIFS($F$26:$F$67,$A$26:$A$67,"wrist",$B$26:$B$67,"0 g",$C$26:$C$67,"off"),"")</f>
        <v/>
      </c>
    </row>
    <row r="77" ht="15" customHeight="1" s="32">
      <c r="A77" s="41" t="inlineStr">
        <is>
          <t>wrist</t>
        </is>
      </c>
      <c r="B77" s="41" t="inlineStr">
        <is>
          <t>500 g</t>
        </is>
      </c>
      <c r="C77" s="50">
        <f>IFERROR(AVERAGEIFS($I$26:$I$67,$A$26:$A$67,"wrist",$B$26:$B$67,"500 g",$C$26:$C$67,"on"),"")</f>
        <v/>
      </c>
      <c r="D77" s="50">
        <f>IFERROR(AVERAGEIFS($I$26:$I$67,$A$26:$A$67,"wrist",$B$26:$B$67,"500 g",$C$26:$C$67,"off"),"")</f>
        <v/>
      </c>
      <c r="E77" s="50">
        <f>IF(AND(ISNUMBER(C77),ISNUMBER(D77)),D77-C77,"")</f>
        <v/>
      </c>
      <c r="F77" s="50">
        <f>IFERROR(AVERAGEIFS($F$26:$F$67,$A$26:$A$67,"wrist",$B$26:$B$67,"500 g",$C$26:$C$67,"on"),"")</f>
        <v/>
      </c>
      <c r="G77" s="50">
        <f>IFERROR(AVERAGEIFS($F$26:$F$67,$A$26:$A$67,"wrist",$B$26:$B$67,"500 g",$C$26:$C$67,"off"),"")</f>
        <v/>
      </c>
    </row>
    <row r="78" ht="15" customHeight="1" s="32">
      <c r="A78" s="34" t="inlineStr">
        <is>
          <t>Improvement = error with the trim off − error with it on (positive = the trim loop helps).</t>
        </is>
      </c>
    </row>
    <row r="79" ht="15" customHeight="1" s="32">
      <c r="A79" s="31" t="inlineStr">
        <is>
          <t>Base (12 Oct): with the trim on, 3 of 6 holds hunted ±0.44° (0.56 s period) through the horn play; with it off, every hold was still (p2p ≤ 0.03°) and within 0.3°. The base trim is now off by default in the firmware.</t>
        </is>
      </c>
    </row>
  </sheetData>
  <mergeCells count="6">
    <mergeCell ref="A7:I7"/>
    <mergeCell ref="A5:I5"/>
    <mergeCell ref="A9:I9"/>
    <mergeCell ref="A8:I8"/>
    <mergeCell ref="A6:I6"/>
    <mergeCell ref="A4:I4"/>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L9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31" min="1" max="1"/>
    <col width="8" customWidth="1" style="31" min="2" max="2"/>
    <col width="16" customWidth="1" style="31" min="3" max="3"/>
    <col width="18" customWidth="1" style="31" min="4" max="4"/>
    <col width="16" customWidth="1" style="31" min="5" max="5"/>
    <col width="12" customWidth="1" style="31" min="6" max="6"/>
    <col width="30" customWidth="1" style="31" min="7" max="7"/>
    <col width="16" customWidth="1" style="31" min="8" max="8"/>
    <col width="10" customWidth="1" style="31" min="9" max="9"/>
    <col width="40" customWidth="1" style="31" min="10" max="10"/>
    <col width="16" customWidth="1" style="31" min="11" max="12"/>
  </cols>
  <sheetData>
    <row r="1" ht="17.25" customHeight="1" s="32">
      <c r="A1" s="33" t="inlineStr">
        <is>
          <t>8.5 Grasp detection (R10: 9 of 10)</t>
        </is>
      </c>
    </row>
    <row r="2" ht="15" customHeight="1" s="32">
      <c r="A2" s="34" t="inlineStr">
        <is>
          <t>Detection rule in the firmware: wait 450 ms after G,1, then the median current over 200 ms must exceed 0.04 A.</t>
        </is>
      </c>
    </row>
    <row r="4" ht="45" customHeight="1" s="32">
      <c r="A4" s="45" t="inlineStr">
        <is>
          <t>Method (Serial Monitor): arm at the pick pose, gripper open (G,0). Place the payload between the jaws, send G,1 and note the K line (K,1 = grasp, K,0 = failed) and the median current it prints. Then lift 20° with the shoulder (M,1,&lt;pose+20&gt;,40), hold 3 s, come back, G,0.</t>
        </is>
      </c>
    </row>
    <row r="5" ht="15" customHeight="1" s="32">
      <c r="A5" s="45" t="inlineStr">
        <is>
          <t>Empty closures: G,1 with nothing in the jaws. Correct if the firmware answers K,0 (it re-opens by itself).</t>
        </is>
      </c>
    </row>
    <row r="6" ht="15" customHeight="1" s="32">
      <c r="A6" s="45" t="inlineStr">
        <is>
          <t>A "grasp detected" where the cube then slips counts as a failure.</t>
        </is>
      </c>
    </row>
    <row r="7" ht="15" customHeight="1" s="32">
      <c r="A7" s="45" t="inlineStr">
        <is>
          <t>Also export one current trace of a grasp and one of an empty closure (bring-up sketch: c 950) for the figure.</t>
        </is>
      </c>
    </row>
    <row r="8" ht="15" customHeight="1" s="32">
      <c r="A8" s="45" t="inlineStr">
        <is>
          <t>Pass: at least 9 of 10 correct for every payload and for the empty closures.</t>
        </is>
      </c>
    </row>
    <row r="9" ht="25.5" customHeight="1" s="32">
      <c r="A9" s="40" t="inlineStr">
        <is>
          <t>Legend: yellow cells = fill in during the test. Green cells = already measured during bring-up (keep or overwrite). White cells are formulas; do not type in them. The grey example row is not counted.</t>
        </is>
      </c>
      <c r="I9" s="38" t="inlineStr">
        <is>
          <t>Payload make-up (masses weighed 12 Oct 2026)</t>
        </is>
      </c>
    </row>
    <row r="10" ht="30" customHeight="1" s="32">
      <c r="A10" s="35" t="inlineStr">
        <is>
          <t>Payload</t>
        </is>
      </c>
      <c r="B10" s="35" t="inlineStr">
        <is>
          <t>Trial</t>
        </is>
      </c>
      <c r="C10" s="35" t="inlineStr">
        <is>
          <t>K result (1 or 0)</t>
        </is>
      </c>
      <c r="D10" s="35" t="inlineStr">
        <is>
          <t>Held during lift (Y/N)</t>
        </is>
      </c>
      <c r="E10" s="35" t="inlineStr">
        <is>
          <t>Correct?</t>
        </is>
      </c>
      <c r="F10" s="35" t="inlineStr">
        <is>
          <t>Median I (A)</t>
        </is>
      </c>
      <c r="G10" s="35" t="inlineStr">
        <is>
          <t>Notes</t>
        </is>
      </c>
      <c r="H10" s="35" t="inlineStr">
        <is>
          <t>Detection correct?</t>
        </is>
      </c>
      <c r="I10" s="35" t="inlineStr">
        <is>
          <t>Payload</t>
        </is>
      </c>
      <c r="J10" s="35" t="inlineStr">
        <is>
          <t>Items</t>
        </is>
      </c>
      <c r="K10" s="35" t="inlineStr">
        <is>
          <t>Sum of items (g)</t>
        </is>
      </c>
      <c r="L10" s="35" t="inlineStr">
        <is>
          <t>Weighed total (g)</t>
        </is>
      </c>
    </row>
    <row r="11" ht="15" customHeight="1" s="32">
      <c r="A11" s="46" t="inlineStr">
        <is>
          <t>50 g</t>
        </is>
      </c>
      <c r="B11" s="46" t="inlineStr">
        <is>
          <t>ex</t>
        </is>
      </c>
      <c r="C11" s="46" t="n">
        <v>1</v>
      </c>
      <c r="D11" s="46" t="inlineStr">
        <is>
          <t>Y</t>
        </is>
      </c>
      <c r="E11" s="46" t="inlineStr">
        <is>
          <t>yes</t>
        </is>
      </c>
      <c r="F11" s="46" t="n">
        <v>0.11</v>
      </c>
      <c r="I11" s="31" t="inlineStr">
        <is>
          <t>50 g</t>
        </is>
      </c>
      <c r="J11" s="31" t="inlineStr">
        <is>
          <t>cube + 1 oz #1</t>
        </is>
      </c>
      <c r="K11" s="31">
        <f>24+28</f>
        <v/>
      </c>
      <c r="L11" s="42" t="n"/>
    </row>
    <row r="12" ht="15" customHeight="1" s="32">
      <c r="A12" s="41" t="inlineStr">
        <is>
          <t>empty</t>
        </is>
      </c>
      <c r="B12" s="41" t="n">
        <v>1</v>
      </c>
      <c r="C12" s="42" t="n">
        <v>0</v>
      </c>
      <c r="D12" s="41" t="inlineStr">
        <is>
          <t>—</t>
        </is>
      </c>
      <c r="E12" s="41">
        <f>IF(C12="","",IF(C12=0,"yes","no"))</f>
        <v/>
      </c>
      <c r="F12" s="42" t="n">
        <v>0.008999999999999999</v>
      </c>
      <c r="G12" s="42" t="inlineStr">
        <is>
          <t>12 Oct 2026, all 10 K,0 and re-opened</t>
        </is>
      </c>
      <c r="H12" s="41">
        <f>IF(C12="","",IF(A12="empty",IF(C12=0,"yes","no"),IF(C12=1,"yes","no")))</f>
        <v/>
      </c>
      <c r="I12" s="31" t="inlineStr">
        <is>
          <t>100 g</t>
        </is>
      </c>
      <c r="J12" s="31" t="inlineStr">
        <is>
          <t>cube + bearing 1 + 2 oz</t>
        </is>
      </c>
      <c r="K12" s="31">
        <f>24+10+60</f>
        <v/>
      </c>
      <c r="L12" s="42" t="n"/>
    </row>
    <row r="13" ht="15" customHeight="1" s="32">
      <c r="A13" s="41" t="inlineStr">
        <is>
          <t>empty</t>
        </is>
      </c>
      <c r="B13" s="41" t="n">
        <v>2</v>
      </c>
      <c r="C13" s="42" t="n">
        <v>0</v>
      </c>
      <c r="D13" s="41" t="inlineStr">
        <is>
          <t>—</t>
        </is>
      </c>
      <c r="E13" s="41">
        <f>IF(C13="","",IF(C13=0,"yes","no"))</f>
        <v/>
      </c>
      <c r="F13" s="42" t="n">
        <v>0.008999999999999999</v>
      </c>
      <c r="G13" s="42" t="n"/>
      <c r="H13" s="41">
        <f>IF(C13="","",IF(A13="empty",IF(C13=0,"yes","no"),IF(C13=1,"yes","no")))</f>
        <v/>
      </c>
      <c r="I13" s="31" t="inlineStr">
        <is>
          <t>200 g</t>
        </is>
      </c>
      <c r="J13" s="31" t="inlineStr">
        <is>
          <t>cube + 2 oz + 4 oz #3</t>
        </is>
      </c>
      <c r="K13" s="31">
        <f>24+60+113</f>
        <v/>
      </c>
      <c r="L13" s="42" t="n"/>
    </row>
    <row r="14" ht="15" customHeight="1" s="32">
      <c r="A14" s="41" t="inlineStr">
        <is>
          <t>empty</t>
        </is>
      </c>
      <c r="B14" s="41" t="n">
        <v>3</v>
      </c>
      <c r="C14" s="42" t="n">
        <v>0</v>
      </c>
      <c r="D14" s="41" t="inlineStr">
        <is>
          <t>—</t>
        </is>
      </c>
      <c r="E14" s="41">
        <f>IF(C14="","",IF(C14=0,"yes","no"))</f>
        <v/>
      </c>
      <c r="F14" s="42" t="n">
        <v>0.008999999999999999</v>
      </c>
      <c r="G14" s="42" t="n"/>
      <c r="H14" s="41">
        <f>IF(C14="","",IF(A14="empty",IF(C14=0,"yes","no"),IF(C14=1,"yes","no")))</f>
        <v/>
      </c>
      <c r="I14" s="31" t="inlineStr">
        <is>
          <t>300 g</t>
        </is>
      </c>
      <c r="J14" s="31" t="inlineStr">
        <is>
          <t>cube + 4 oz #2 + 4 oz #3 + 2 oz</t>
        </is>
      </c>
      <c r="K14" s="31">
        <f>24+109+113+60</f>
        <v/>
      </c>
      <c r="L14" s="42" t="n"/>
    </row>
    <row r="15" ht="15" customHeight="1" s="32">
      <c r="A15" s="41" t="inlineStr">
        <is>
          <t>empty</t>
        </is>
      </c>
      <c r="B15" s="41" t="n">
        <v>4</v>
      </c>
      <c r="C15" s="42" t="n">
        <v>0</v>
      </c>
      <c r="D15" s="41" t="inlineStr">
        <is>
          <t>—</t>
        </is>
      </c>
      <c r="E15" s="41">
        <f>IF(C15="","",IF(C15=0,"yes","no"))</f>
        <v/>
      </c>
      <c r="F15" s="42" t="n">
        <v>0.008999999999999999</v>
      </c>
      <c r="G15" s="42" t="n"/>
      <c r="H15" s="41">
        <f>IF(C15="","",IF(A15="empty",IF(C15=0,"yes","no"),IF(C15=1,"yes","no")))</f>
        <v/>
      </c>
      <c r="I15" s="31" t="inlineStr">
        <is>
          <t>400 g</t>
        </is>
      </c>
      <c r="J15" s="31" t="inlineStr">
        <is>
          <t>cube + 3 × 4 oz + 1 oz #2 + bearing 1</t>
        </is>
      </c>
      <c r="K15" s="31">
        <f>24+116+109+113+27+10</f>
        <v/>
      </c>
      <c r="L15" s="42" t="n"/>
    </row>
    <row r="16" ht="15" customHeight="1" s="32">
      <c r="A16" s="41" t="inlineStr">
        <is>
          <t>empty</t>
        </is>
      </c>
      <c r="B16" s="41" t="n">
        <v>5</v>
      </c>
      <c r="C16" s="42" t="n">
        <v>0</v>
      </c>
      <c r="D16" s="41" t="inlineStr">
        <is>
          <t>—</t>
        </is>
      </c>
      <c r="E16" s="41">
        <f>IF(C16="","",IF(C16=0,"yes","no"))</f>
        <v/>
      </c>
      <c r="F16" s="42" t="n">
        <v>0.008999999999999999</v>
      </c>
      <c r="G16" s="42" t="n"/>
      <c r="H16" s="41">
        <f>IF(C16="","",IF(A16="empty",IF(C16=0,"yes","no"),IF(C16=1,"yes","no")))</f>
        <v/>
      </c>
      <c r="I16" s="31" t="inlineStr">
        <is>
          <t>500 g</t>
        </is>
      </c>
      <c r="J16" s="31" t="inlineStr">
        <is>
          <t>cube + 3 × 4 oz + 2 oz + 2 × 1 oz + 2 bearings</t>
        </is>
      </c>
      <c r="K16" s="31">
        <f>24+116+109+113+60+28+27+10+11</f>
        <v/>
      </c>
      <c r="L16" s="42" t="n"/>
    </row>
    <row r="17" ht="15" customHeight="1" s="32">
      <c r="A17" s="41" t="inlineStr">
        <is>
          <t>empty</t>
        </is>
      </c>
      <c r="B17" s="41" t="n">
        <v>6</v>
      </c>
      <c r="C17" s="42" t="n">
        <v>0</v>
      </c>
      <c r="D17" s="41" t="inlineStr">
        <is>
          <t>—</t>
        </is>
      </c>
      <c r="E17" s="41">
        <f>IF(C17="","",IF(C17=0,"yes","no"))</f>
        <v/>
      </c>
      <c r="F17" s="42" t="n">
        <v>0.008999999999999999</v>
      </c>
      <c r="G17" s="42" t="n"/>
      <c r="H17" s="41">
        <f>IF(C17="","",IF(A17="empty",IF(C17=0,"yes","no"),IF(C17=1,"yes","no")))</f>
        <v/>
      </c>
      <c r="I17" s="60" t="inlineStr">
        <is>
          <t>Items: cube 24 g, bearings 10 g and 11 g, 1 oz 28 g and 27 g, 2 oz 60 g, 4 oz 116 g, 109 g, 113 g. Weigh each assembled payload (with its tape) and enter it in the yellow column.</t>
        </is>
      </c>
    </row>
    <row r="18" ht="15" customHeight="1" s="32">
      <c r="A18" s="41" t="inlineStr">
        <is>
          <t>empty</t>
        </is>
      </c>
      <c r="B18" s="41" t="n">
        <v>7</v>
      </c>
      <c r="C18" s="42" t="n">
        <v>0</v>
      </c>
      <c r="D18" s="41" t="inlineStr">
        <is>
          <t>—</t>
        </is>
      </c>
      <c r="E18" s="41">
        <f>IF(C18="","",IF(C18=0,"yes","no"))</f>
        <v/>
      </c>
      <c r="F18" s="42" t="n">
        <v>0.008999999999999999</v>
      </c>
      <c r="G18" s="42" t="n"/>
      <c r="H18" s="41">
        <f>IF(C18="","",IF(A18="empty",IF(C18=0,"yes","no"),IF(C18=1,"yes","no")))</f>
        <v/>
      </c>
    </row>
    <row r="19" ht="15" customHeight="1" s="32">
      <c r="A19" s="41" t="inlineStr">
        <is>
          <t>empty</t>
        </is>
      </c>
      <c r="B19" s="41" t="n">
        <v>8</v>
      </c>
      <c r="C19" s="42" t="n">
        <v>0</v>
      </c>
      <c r="D19" s="41" t="inlineStr">
        <is>
          <t>—</t>
        </is>
      </c>
      <c r="E19" s="41">
        <f>IF(C19="","",IF(C19=0,"yes","no"))</f>
        <v/>
      </c>
      <c r="F19" s="42" t="n">
        <v>0.008999999999999999</v>
      </c>
      <c r="G19" s="42" t="n"/>
      <c r="H19" s="41">
        <f>IF(C19="","",IF(A19="empty",IF(C19=0,"yes","no"),IF(C19=1,"yes","no")))</f>
        <v/>
      </c>
    </row>
    <row r="20" ht="15" customHeight="1" s="32">
      <c r="A20" s="41" t="inlineStr">
        <is>
          <t>empty</t>
        </is>
      </c>
      <c r="B20" s="41" t="n">
        <v>9</v>
      </c>
      <c r="C20" s="42" t="n">
        <v>0</v>
      </c>
      <c r="D20" s="41" t="inlineStr">
        <is>
          <t>—</t>
        </is>
      </c>
      <c r="E20" s="41">
        <f>IF(C20="","",IF(C20=0,"yes","no"))</f>
        <v/>
      </c>
      <c r="F20" s="42" t="n">
        <v>0.008999999999999999</v>
      </c>
      <c r="G20" s="42" t="n"/>
      <c r="H20" s="41">
        <f>IF(C20="","",IF(A20="empty",IF(C20=0,"yes","no"),IF(C20=1,"yes","no")))</f>
        <v/>
      </c>
    </row>
    <row r="21" ht="15" customHeight="1" s="32">
      <c r="A21" s="41" t="inlineStr">
        <is>
          <t>empty</t>
        </is>
      </c>
      <c r="B21" s="41" t="n">
        <v>10</v>
      </c>
      <c r="C21" s="42" t="n">
        <v>0</v>
      </c>
      <c r="D21" s="41" t="inlineStr">
        <is>
          <t>—</t>
        </is>
      </c>
      <c r="E21" s="41">
        <f>IF(C21="","",IF(C21=0,"yes","no"))</f>
        <v/>
      </c>
      <c r="F21" s="42" t="n">
        <v>0.008999999999999999</v>
      </c>
      <c r="G21" s="42" t="n"/>
      <c r="H21" s="41">
        <f>IF(C21="","",IF(A21="empty",IF(C21=0,"yes","no"),IF(C21=1,"yes","no")))</f>
        <v/>
      </c>
    </row>
    <row r="22" ht="15" customHeight="1" s="32">
      <c r="A22" s="41" t="inlineStr">
        <is>
          <t>50 g</t>
        </is>
      </c>
      <c r="B22" s="41" t="n">
        <v>1</v>
      </c>
      <c r="C22" s="42" t="n">
        <v>1</v>
      </c>
      <c r="D22" s="42" t="inlineStr">
        <is>
          <t>Y</t>
        </is>
      </c>
      <c r="E22" s="41">
        <f>IF(C22="","",IF(AND(C22=1,D22="Y"),"yes","no"))</f>
        <v/>
      </c>
      <c r="F22" s="42" t="n">
        <v>0.115</v>
      </c>
      <c r="G22" s="42" t="n"/>
      <c r="H22" s="41">
        <f>IF(C22="","",IF(A22="empty",IF(C22=0,"yes","no"),IF(C22=1,"yes","no")))</f>
        <v/>
      </c>
    </row>
    <row r="23" ht="15" customHeight="1" s="32">
      <c r="A23" s="41" t="inlineStr">
        <is>
          <t>50 g</t>
        </is>
      </c>
      <c r="B23" s="41" t="n">
        <v>2</v>
      </c>
      <c r="C23" s="42" t="n">
        <v>1</v>
      </c>
      <c r="D23" s="42" t="inlineStr">
        <is>
          <t>Y</t>
        </is>
      </c>
      <c r="E23" s="41">
        <f>IF(C23="","",IF(AND(C23=1,D23="Y"),"yes","no"))</f>
        <v/>
      </c>
      <c r="F23" s="42" t="n">
        <v>0.128</v>
      </c>
      <c r="G23" s="42" t="n"/>
      <c r="H23" s="41">
        <f>IF(C23="","",IF(A23="empty",IF(C23=0,"yes","no"),IF(C23=1,"yes","no")))</f>
        <v/>
      </c>
    </row>
    <row r="24" ht="15" customHeight="1" s="32">
      <c r="A24" s="41" t="inlineStr">
        <is>
          <t>50 g</t>
        </is>
      </c>
      <c r="B24" s="41" t="n">
        <v>3</v>
      </c>
      <c r="C24" s="42" t="n">
        <v>1</v>
      </c>
      <c r="D24" s="42" t="inlineStr">
        <is>
          <t>Y</t>
        </is>
      </c>
      <c r="E24" s="41">
        <f>IF(C24="","",IF(AND(C24=1,D24="Y"),"yes","no"))</f>
        <v/>
      </c>
      <c r="F24" s="42" t="n">
        <v>0.134</v>
      </c>
      <c r="G24" s="42" t="n"/>
      <c r="H24" s="41">
        <f>IF(C24="","",IF(A24="empty",IF(C24=0,"yes","no"),IF(C24=1,"yes","no")))</f>
        <v/>
      </c>
    </row>
    <row r="25" ht="15" customHeight="1" s="32">
      <c r="A25" s="41" t="inlineStr">
        <is>
          <t>50 g</t>
        </is>
      </c>
      <c r="B25" s="41" t="n">
        <v>4</v>
      </c>
      <c r="C25" s="42" t="n">
        <v>1</v>
      </c>
      <c r="D25" s="42" t="inlineStr">
        <is>
          <t>Y</t>
        </is>
      </c>
      <c r="E25" s="41">
        <f>IF(C25="","",IF(AND(C25=1,D25="Y"),"yes","no"))</f>
        <v/>
      </c>
      <c r="F25" s="42" t="n">
        <v>0.145</v>
      </c>
      <c r="G25" s="42" t="n"/>
      <c r="H25" s="41">
        <f>IF(C25="","",IF(A25="empty",IF(C25=0,"yes","no"),IF(C25=1,"yes","no")))</f>
        <v/>
      </c>
    </row>
    <row r="26" ht="15" customHeight="1" s="32">
      <c r="A26" s="41" t="inlineStr">
        <is>
          <t>50 g</t>
        </is>
      </c>
      <c r="B26" s="41" t="n">
        <v>5</v>
      </c>
      <c r="C26" s="42" t="n">
        <v>1</v>
      </c>
      <c r="D26" s="42" t="inlineStr">
        <is>
          <t>Y</t>
        </is>
      </c>
      <c r="E26" s="41">
        <f>IF(C26="","",IF(AND(C26=1,D26="Y"),"yes","no"))</f>
        <v/>
      </c>
      <c r="F26" s="42" t="n">
        <v>0.128</v>
      </c>
      <c r="G26" s="42" t="n"/>
      <c r="H26" s="41">
        <f>IF(C26="","",IF(A26="empty",IF(C26=0,"yes","no"),IF(C26=1,"yes","no")))</f>
        <v/>
      </c>
    </row>
    <row r="27" ht="15" customHeight="1" s="32">
      <c r="A27" s="41" t="inlineStr">
        <is>
          <t>50 g</t>
        </is>
      </c>
      <c r="B27" s="41" t="n">
        <v>6</v>
      </c>
      <c r="C27" s="42" t="n">
        <v>1</v>
      </c>
      <c r="D27" s="42" t="inlineStr">
        <is>
          <t>Y</t>
        </is>
      </c>
      <c r="E27" s="41">
        <f>IF(C27="","",IF(AND(C27=1,D27="Y"),"yes","no"))</f>
        <v/>
      </c>
      <c r="F27" s="42" t="n">
        <v>0.118</v>
      </c>
      <c r="G27" s="42" t="n"/>
      <c r="H27" s="41">
        <f>IF(C27="","",IF(A27="empty",IF(C27=0,"yes","no"),IF(C27=1,"yes","no")))</f>
        <v/>
      </c>
    </row>
    <row r="28" ht="15" customHeight="1" s="32">
      <c r="A28" s="41" t="inlineStr">
        <is>
          <t>50 g</t>
        </is>
      </c>
      <c r="B28" s="41" t="n">
        <v>7</v>
      </c>
      <c r="C28" s="42" t="n">
        <v>1</v>
      </c>
      <c r="D28" s="42" t="inlineStr">
        <is>
          <t>Y</t>
        </is>
      </c>
      <c r="E28" s="41">
        <f>IF(C28="","",IF(AND(C28=1,D28="Y"),"yes","no"))</f>
        <v/>
      </c>
      <c r="F28" s="42" t="n">
        <v>0.114</v>
      </c>
      <c r="G28" s="42" t="n"/>
      <c r="H28" s="41">
        <f>IF(C28="","",IF(A28="empty",IF(C28=0,"yes","no"),IF(C28=1,"yes","no")))</f>
        <v/>
      </c>
    </row>
    <row r="29" ht="15" customHeight="1" s="32">
      <c r="A29" s="41" t="inlineStr">
        <is>
          <t>50 g</t>
        </is>
      </c>
      <c r="B29" s="41" t="n">
        <v>8</v>
      </c>
      <c r="C29" s="42" t="n">
        <v>1</v>
      </c>
      <c r="D29" s="42" t="inlineStr">
        <is>
          <t>Y</t>
        </is>
      </c>
      <c r="E29" s="41">
        <f>IF(C29="","",IF(AND(C29=1,D29="Y"),"yes","no"))</f>
        <v/>
      </c>
      <c r="F29" s="42" t="n">
        <v>0.102</v>
      </c>
      <c r="G29" s="42" t="n"/>
      <c r="H29" s="41">
        <f>IF(C29="","",IF(A29="empty",IF(C29=0,"yes","no"),IF(C29=1,"yes","no")))</f>
        <v/>
      </c>
    </row>
    <row r="30" ht="15" customHeight="1" s="32">
      <c r="A30" s="41" t="inlineStr">
        <is>
          <t>50 g</t>
        </is>
      </c>
      <c r="B30" s="41" t="n">
        <v>9</v>
      </c>
      <c r="C30" s="42" t="n">
        <v>1</v>
      </c>
      <c r="D30" s="42" t="inlineStr">
        <is>
          <t>Y</t>
        </is>
      </c>
      <c r="E30" s="41">
        <f>IF(C30="","",IF(AND(C30=1,D30="Y"),"yes","no"))</f>
        <v/>
      </c>
      <c r="F30" s="42" t="n">
        <v>0.122</v>
      </c>
      <c r="G30" s="42" t="n"/>
      <c r="H30" s="41">
        <f>IF(C30="","",IF(A30="empty",IF(C30=0,"yes","no"),IF(C30=1,"yes","no")))</f>
        <v/>
      </c>
    </row>
    <row r="31" ht="15" customHeight="1" s="32">
      <c r="A31" s="41" t="inlineStr">
        <is>
          <t>50 g</t>
        </is>
      </c>
      <c r="B31" s="41" t="n">
        <v>10</v>
      </c>
      <c r="C31" s="42" t="n">
        <v>1</v>
      </c>
      <c r="D31" s="42" t="inlineStr">
        <is>
          <t>Y</t>
        </is>
      </c>
      <c r="E31" s="41">
        <f>IF(C31="","",IF(AND(C31=1,D31="Y"),"yes","no"))</f>
        <v/>
      </c>
      <c r="F31" s="42" t="n">
        <v>0.116</v>
      </c>
      <c r="G31" s="42" t="n"/>
      <c r="H31" s="41">
        <f>IF(C31="","",IF(A31="empty",IF(C31=0,"yes","no"),IF(C31=1,"yes","no")))</f>
        <v/>
      </c>
    </row>
    <row r="32" ht="15" customHeight="1" s="32">
      <c r="A32" s="41" t="inlineStr">
        <is>
          <t>100 g</t>
        </is>
      </c>
      <c r="B32" s="41" t="n">
        <v>1</v>
      </c>
      <c r="C32" s="42" t="n">
        <v>1</v>
      </c>
      <c r="D32" s="42" t="inlineStr">
        <is>
          <t>Y</t>
        </is>
      </c>
      <c r="E32" s="41">
        <f>IF(C32="","",IF(AND(C32=1,D32="Y"),"yes","no"))</f>
        <v/>
      </c>
      <c r="F32" s="42" t="n">
        <v>0.116</v>
      </c>
      <c r="G32" s="42" t="n"/>
      <c r="H32" s="41">
        <f>IF(C32="","",IF(A32="empty",IF(C32=0,"yes","no"),IF(C32=1,"yes","no")))</f>
        <v/>
      </c>
    </row>
    <row r="33" ht="15" customHeight="1" s="32">
      <c r="A33" s="41" t="inlineStr">
        <is>
          <t>100 g</t>
        </is>
      </c>
      <c r="B33" s="41" t="n">
        <v>2</v>
      </c>
      <c r="C33" s="42" t="n">
        <v>1</v>
      </c>
      <c r="D33" s="42" t="inlineStr">
        <is>
          <t>Y</t>
        </is>
      </c>
      <c r="E33" s="41">
        <f>IF(C33="","",IF(AND(C33=1,D33="Y"),"yes","no"))</f>
        <v/>
      </c>
      <c r="F33" s="42" t="n">
        <v>0.109</v>
      </c>
      <c r="G33" s="42" t="n"/>
      <c r="H33" s="41">
        <f>IF(C33="","",IF(A33="empty",IF(C33=0,"yes","no"),IF(C33=1,"yes","no")))</f>
        <v/>
      </c>
    </row>
    <row r="34" ht="15" customHeight="1" s="32">
      <c r="A34" s="41" t="inlineStr">
        <is>
          <t>100 g</t>
        </is>
      </c>
      <c r="B34" s="41" t="n">
        <v>3</v>
      </c>
      <c r="C34" s="42" t="n">
        <v>1</v>
      </c>
      <c r="D34" s="42" t="inlineStr">
        <is>
          <t>Y</t>
        </is>
      </c>
      <c r="E34" s="41">
        <f>IF(C34="","",IF(AND(C34=1,D34="Y"),"yes","no"))</f>
        <v/>
      </c>
      <c r="F34" s="42" t="n">
        <v>0.14</v>
      </c>
      <c r="G34" s="42" t="n"/>
      <c r="H34" s="41">
        <f>IF(C34="","",IF(A34="empty",IF(C34=0,"yes","no"),IF(C34=1,"yes","no")))</f>
        <v/>
      </c>
    </row>
    <row r="35" ht="15" customHeight="1" s="32">
      <c r="A35" s="41" t="inlineStr">
        <is>
          <t>100 g</t>
        </is>
      </c>
      <c r="B35" s="41" t="n">
        <v>4</v>
      </c>
      <c r="C35" s="42" t="n">
        <v>1</v>
      </c>
      <c r="D35" s="42" t="inlineStr">
        <is>
          <t>Y</t>
        </is>
      </c>
      <c r="E35" s="41">
        <f>IF(C35="","",IF(AND(C35=1,D35="Y"),"yes","no"))</f>
        <v/>
      </c>
      <c r="F35" s="42" t="n">
        <v>0.111</v>
      </c>
      <c r="G35" s="42" t="n"/>
      <c r="H35" s="41">
        <f>IF(C35="","",IF(A35="empty",IF(C35=0,"yes","no"),IF(C35=1,"yes","no")))</f>
        <v/>
      </c>
    </row>
    <row r="36" ht="15" customHeight="1" s="32">
      <c r="A36" s="41" t="inlineStr">
        <is>
          <t>100 g</t>
        </is>
      </c>
      <c r="B36" s="41" t="n">
        <v>5</v>
      </c>
      <c r="C36" s="42" t="n">
        <v>1</v>
      </c>
      <c r="D36" s="42" t="inlineStr">
        <is>
          <t>Y</t>
        </is>
      </c>
      <c r="E36" s="41">
        <f>IF(C36="","",IF(AND(C36=1,D36="Y"),"yes","no"))</f>
        <v/>
      </c>
      <c r="F36" s="42" t="n">
        <v>0.121</v>
      </c>
      <c r="G36" s="42" t="n"/>
      <c r="H36" s="41">
        <f>IF(C36="","",IF(A36="empty",IF(C36=0,"yes","no"),IF(C36=1,"yes","no")))</f>
        <v/>
      </c>
    </row>
    <row r="37" ht="15" customHeight="1" s="32">
      <c r="A37" s="41" t="inlineStr">
        <is>
          <t>100 g</t>
        </is>
      </c>
      <c r="B37" s="41" t="n">
        <v>6</v>
      </c>
      <c r="C37" s="42" t="n">
        <v>1</v>
      </c>
      <c r="D37" s="42" t="inlineStr">
        <is>
          <t>Y</t>
        </is>
      </c>
      <c r="E37" s="41">
        <f>IF(C37="","",IF(AND(C37=1,D37="Y"),"yes","no"))</f>
        <v/>
      </c>
      <c r="F37" s="42" t="n">
        <v>0.11</v>
      </c>
      <c r="G37" s="42" t="n"/>
      <c r="H37" s="41">
        <f>IF(C37="","",IF(A37="empty",IF(C37=0,"yes","no"),IF(C37=1,"yes","no")))</f>
        <v/>
      </c>
    </row>
    <row r="38" ht="15" customHeight="1" s="32">
      <c r="A38" s="41" t="inlineStr">
        <is>
          <t>100 g</t>
        </is>
      </c>
      <c r="B38" s="41" t="n">
        <v>7</v>
      </c>
      <c r="C38" s="42" t="n">
        <v>1</v>
      </c>
      <c r="D38" s="42" t="inlineStr">
        <is>
          <t>Y</t>
        </is>
      </c>
      <c r="E38" s="41">
        <f>IF(C38="","",IF(AND(C38=1,D38="Y"),"yes","no"))</f>
        <v/>
      </c>
      <c r="F38" s="42" t="n">
        <v>0.105</v>
      </c>
      <c r="G38" s="42" t="n"/>
      <c r="H38" s="41">
        <f>IF(C38="","",IF(A38="empty",IF(C38=0,"yes","no"),IF(C38=1,"yes","no")))</f>
        <v/>
      </c>
    </row>
    <row r="39" ht="15" customHeight="1" s="32">
      <c r="A39" s="41" t="inlineStr">
        <is>
          <t>100 g</t>
        </is>
      </c>
      <c r="B39" s="41" t="n">
        <v>8</v>
      </c>
      <c r="C39" s="42" t="n">
        <v>1</v>
      </c>
      <c r="D39" s="42" t="inlineStr">
        <is>
          <t>Y</t>
        </is>
      </c>
      <c r="E39" s="41">
        <f>IF(C39="","",IF(AND(C39=1,D39="Y"),"yes","no"))</f>
        <v/>
      </c>
      <c r="F39" s="42" t="n">
        <v>0.124</v>
      </c>
      <c r="G39" s="42" t="n"/>
      <c r="H39" s="41">
        <f>IF(C39="","",IF(A39="empty",IF(C39=0,"yes","no"),IF(C39=1,"yes","no")))</f>
        <v/>
      </c>
    </row>
    <row r="40" ht="15" customHeight="1" s="32">
      <c r="A40" s="41" t="inlineStr">
        <is>
          <t>100 g</t>
        </is>
      </c>
      <c r="B40" s="41" t="n">
        <v>9</v>
      </c>
      <c r="C40" s="42" t="n">
        <v>1</v>
      </c>
      <c r="D40" s="42" t="inlineStr">
        <is>
          <t>Y</t>
        </is>
      </c>
      <c r="E40" s="41">
        <f>IF(C40="","",IF(AND(C40=1,D40="Y"),"yes","no"))</f>
        <v/>
      </c>
      <c r="F40" s="42" t="n">
        <v>0.122</v>
      </c>
      <c r="G40" s="42" t="n"/>
      <c r="H40" s="41">
        <f>IF(C40="","",IF(A40="empty",IF(C40=0,"yes","no"),IF(C40=1,"yes","no")))</f>
        <v/>
      </c>
    </row>
    <row r="41" ht="15" customHeight="1" s="32">
      <c r="A41" s="41" t="inlineStr">
        <is>
          <t>100 g</t>
        </is>
      </c>
      <c r="B41" s="41" t="n">
        <v>10</v>
      </c>
      <c r="C41" s="42" t="n">
        <v>1</v>
      </c>
      <c r="D41" s="42" t="inlineStr">
        <is>
          <t>Y</t>
        </is>
      </c>
      <c r="E41" s="41">
        <f>IF(C41="","",IF(AND(C41=1,D41="Y"),"yes","no"))</f>
        <v/>
      </c>
      <c r="F41" s="42" t="n">
        <v>0.115</v>
      </c>
      <c r="G41" s="42" t="inlineStr">
        <is>
          <t>an 11th trial was also run: K,1, 0.108 A, held (11/11)</t>
        </is>
      </c>
      <c r="H41" s="41">
        <f>IF(C41="","",IF(A41="empty",IF(C41=0,"yes","no"),IF(C41=1,"yes","no")))</f>
        <v/>
      </c>
    </row>
    <row r="42" ht="15" customHeight="1" s="32">
      <c r="A42" s="41" t="inlineStr">
        <is>
          <t>200 g</t>
        </is>
      </c>
      <c r="B42" s="41" t="n">
        <v>1</v>
      </c>
      <c r="C42" s="42" t="n">
        <v>1</v>
      </c>
      <c r="D42" s="42" t="inlineStr">
        <is>
          <t>Y</t>
        </is>
      </c>
      <c r="E42" s="41">
        <f>IF(C42="","",IF(AND(C42=1,D42="Y"),"yes","no"))</f>
        <v/>
      </c>
      <c r="F42" s="42" t="n">
        <v>0.138</v>
      </c>
      <c r="G42" s="42" t="n"/>
      <c r="H42" s="41">
        <f>IF(C42="","",IF(A42="empty",IF(C42=0,"yes","no"),IF(C42=1,"yes","no")))</f>
        <v/>
      </c>
    </row>
    <row r="43" ht="15" customHeight="1" s="32">
      <c r="A43" s="41" t="inlineStr">
        <is>
          <t>200 g</t>
        </is>
      </c>
      <c r="B43" s="41" t="n">
        <v>2</v>
      </c>
      <c r="C43" s="42" t="n">
        <v>1</v>
      </c>
      <c r="D43" s="42" t="inlineStr">
        <is>
          <t>Y</t>
        </is>
      </c>
      <c r="E43" s="41">
        <f>IF(C43="","",IF(AND(C43=1,D43="Y"),"yes","no"))</f>
        <v/>
      </c>
      <c r="F43" s="42" t="n">
        <v>0.115</v>
      </c>
      <c r="G43" s="42" t="n"/>
      <c r="H43" s="41">
        <f>IF(C43="","",IF(A43="empty",IF(C43=0,"yes","no"),IF(C43=1,"yes","no")))</f>
        <v/>
      </c>
    </row>
    <row r="44" ht="15" customHeight="1" s="32">
      <c r="A44" s="41" t="inlineStr">
        <is>
          <t>200 g</t>
        </is>
      </c>
      <c r="B44" s="41" t="n">
        <v>3</v>
      </c>
      <c r="C44" s="42" t="n">
        <v>1</v>
      </c>
      <c r="D44" s="42" t="inlineStr">
        <is>
          <t>Y</t>
        </is>
      </c>
      <c r="E44" s="41">
        <f>IF(C44="","",IF(AND(C44=1,D44="Y"),"yes","no"))</f>
        <v/>
      </c>
      <c r="F44" s="42" t="n">
        <v>0.108</v>
      </c>
      <c r="G44" s="42" t="n"/>
      <c r="H44" s="41">
        <f>IF(C44="","",IF(A44="empty",IF(C44=0,"yes","no"),IF(C44=1,"yes","no")))</f>
        <v/>
      </c>
    </row>
    <row r="45" ht="15" customHeight="1" s="32">
      <c r="A45" s="41" t="inlineStr">
        <is>
          <t>200 g</t>
        </is>
      </c>
      <c r="B45" s="41" t="n">
        <v>4</v>
      </c>
      <c r="C45" s="42" t="n">
        <v>1</v>
      </c>
      <c r="D45" s="42" t="inlineStr">
        <is>
          <t>Y</t>
        </is>
      </c>
      <c r="E45" s="41">
        <f>IF(C45="","",IF(AND(C45=1,D45="Y"),"yes","no"))</f>
        <v/>
      </c>
      <c r="F45" s="42" t="n">
        <v>0.108</v>
      </c>
      <c r="G45" s="42" t="n"/>
      <c r="H45" s="41">
        <f>IF(C45="","",IF(A45="empty",IF(C45=0,"yes","no"),IF(C45=1,"yes","no")))</f>
        <v/>
      </c>
    </row>
    <row r="46" ht="15" customHeight="1" s="32">
      <c r="A46" s="41" t="inlineStr">
        <is>
          <t>200 g</t>
        </is>
      </c>
      <c r="B46" s="41" t="n">
        <v>5</v>
      </c>
      <c r="C46" s="42" t="n">
        <v>1</v>
      </c>
      <c r="D46" s="42" t="inlineStr">
        <is>
          <t>Y</t>
        </is>
      </c>
      <c r="E46" s="41">
        <f>IF(C46="","",IF(AND(C46=1,D46="Y"),"yes","no"))</f>
        <v/>
      </c>
      <c r="F46" s="42" t="n">
        <v>0.114</v>
      </c>
      <c r="G46" s="42" t="n"/>
      <c r="H46" s="41">
        <f>IF(C46="","",IF(A46="empty",IF(C46=0,"yes","no"),IF(C46=1,"yes","no")))</f>
        <v/>
      </c>
    </row>
    <row r="47" ht="15" customHeight="1" s="32">
      <c r="A47" s="41" t="inlineStr">
        <is>
          <t>200 g</t>
        </is>
      </c>
      <c r="B47" s="41" t="n">
        <v>6</v>
      </c>
      <c r="C47" s="42" t="n">
        <v>1</v>
      </c>
      <c r="D47" s="42" t="inlineStr">
        <is>
          <t>Y</t>
        </is>
      </c>
      <c r="E47" s="41">
        <f>IF(C47="","",IF(AND(C47=1,D47="Y"),"yes","no"))</f>
        <v/>
      </c>
      <c r="F47" s="42" t="n">
        <v>0.11</v>
      </c>
      <c r="G47" s="42" t="n"/>
      <c r="H47" s="41">
        <f>IF(C47="","",IF(A47="empty",IF(C47=0,"yes","no"),IF(C47=1,"yes","no")))</f>
        <v/>
      </c>
    </row>
    <row r="48" ht="15" customHeight="1" s="32">
      <c r="A48" s="41" t="inlineStr">
        <is>
          <t>200 g</t>
        </is>
      </c>
      <c r="B48" s="41" t="n">
        <v>7</v>
      </c>
      <c r="C48" s="42" t="n">
        <v>1</v>
      </c>
      <c r="D48" s="42" t="inlineStr">
        <is>
          <t>Y</t>
        </is>
      </c>
      <c r="E48" s="41">
        <f>IF(C48="","",IF(AND(C48=1,D48="Y"),"yes","no"))</f>
        <v/>
      </c>
      <c r="F48" s="42" t="n">
        <v>0.117</v>
      </c>
      <c r="G48" s="42" t="n"/>
      <c r="H48" s="41">
        <f>IF(C48="","",IF(A48="empty",IF(C48=0,"yes","no"),IF(C48=1,"yes","no")))</f>
        <v/>
      </c>
    </row>
    <row r="49" ht="15" customHeight="1" s="32">
      <c r="A49" s="41" t="inlineStr">
        <is>
          <t>200 g</t>
        </is>
      </c>
      <c r="B49" s="41" t="n">
        <v>8</v>
      </c>
      <c r="C49" s="42" t="n">
        <v>1</v>
      </c>
      <c r="D49" s="42" t="inlineStr">
        <is>
          <t>Y</t>
        </is>
      </c>
      <c r="E49" s="41">
        <f>IF(C49="","",IF(AND(C49=1,D49="Y"),"yes","no"))</f>
        <v/>
      </c>
      <c r="F49" s="42" t="n">
        <v>0.113</v>
      </c>
      <c r="G49" s="42" t="n"/>
      <c r="H49" s="41">
        <f>IF(C49="","",IF(A49="empty",IF(C49=0,"yes","no"),IF(C49=1,"yes","no")))</f>
        <v/>
      </c>
    </row>
    <row r="50" ht="15" customHeight="1" s="32">
      <c r="A50" s="41" t="inlineStr">
        <is>
          <t>200 g</t>
        </is>
      </c>
      <c r="B50" s="41" t="n">
        <v>9</v>
      </c>
      <c r="C50" s="42" t="n">
        <v>1</v>
      </c>
      <c r="D50" s="42" t="inlineStr">
        <is>
          <t>Y</t>
        </is>
      </c>
      <c r="E50" s="41">
        <f>IF(C50="","",IF(AND(C50=1,D50="Y"),"yes","no"))</f>
        <v/>
      </c>
      <c r="F50" s="42" t="n">
        <v>0.114</v>
      </c>
      <c r="G50" s="42" t="n"/>
      <c r="H50" s="41">
        <f>IF(C50="","",IF(A50="empty",IF(C50=0,"yes","no"),IF(C50=1,"yes","no")))</f>
        <v/>
      </c>
    </row>
    <row r="51" ht="15" customHeight="1" s="32">
      <c r="A51" s="41" t="inlineStr">
        <is>
          <t>200 g</t>
        </is>
      </c>
      <c r="B51" s="41" t="n">
        <v>10</v>
      </c>
      <c r="C51" s="42" t="n">
        <v>1</v>
      </c>
      <c r="D51" s="42" t="inlineStr">
        <is>
          <t>Y</t>
        </is>
      </c>
      <c r="E51" s="41">
        <f>IF(C51="","",IF(AND(C51=1,D51="Y"),"yes","no"))</f>
        <v/>
      </c>
      <c r="F51" s="42" t="n">
        <v>0.121</v>
      </c>
      <c r="G51" s="42" t="n"/>
      <c r="H51" s="41">
        <f>IF(C51="","",IF(A51="empty",IF(C51=0,"yes","no"),IF(C51=1,"yes","no")))</f>
        <v/>
      </c>
    </row>
    <row r="52" ht="15" customHeight="1" s="32">
      <c r="A52" s="41" t="inlineStr">
        <is>
          <t>300 g</t>
        </is>
      </c>
      <c r="B52" s="41" t="n">
        <v>1</v>
      </c>
      <c r="C52" s="42" t="n">
        <v>1</v>
      </c>
      <c r="D52" s="42" t="inlineStr">
        <is>
          <t>Y</t>
        </is>
      </c>
      <c r="E52" s="41">
        <f>IF(C52="","",IF(AND(C52=1,D52="Y"),"yes","no"))</f>
        <v/>
      </c>
      <c r="F52" s="42" t="n">
        <v>0.145</v>
      </c>
      <c r="G52" s="42" t="n"/>
      <c r="H52" s="41">
        <f>IF(C52="","",IF(A52="empty",IF(C52=0,"yes","no"),IF(C52=1,"yes","no")))</f>
        <v/>
      </c>
    </row>
    <row r="53" ht="15" customHeight="1" s="32">
      <c r="A53" s="41" t="inlineStr">
        <is>
          <t>300 g</t>
        </is>
      </c>
      <c r="B53" s="41" t="n">
        <v>2</v>
      </c>
      <c r="C53" s="42" t="n">
        <v>1</v>
      </c>
      <c r="D53" s="42" t="inlineStr">
        <is>
          <t>Y</t>
        </is>
      </c>
      <c r="E53" s="41">
        <f>IF(C53="","",IF(AND(C53=1,D53="Y"),"yes","no"))</f>
        <v/>
      </c>
      <c r="F53" s="42" t="n">
        <v>0.115</v>
      </c>
      <c r="G53" s="42" t="n"/>
      <c r="H53" s="41">
        <f>IF(C53="","",IF(A53="empty",IF(C53=0,"yes","no"),IF(C53=1,"yes","no")))</f>
        <v/>
      </c>
    </row>
    <row r="54" ht="15" customHeight="1" s="32">
      <c r="A54" s="41" t="inlineStr">
        <is>
          <t>300 g</t>
        </is>
      </c>
      <c r="B54" s="41" t="n">
        <v>3</v>
      </c>
      <c r="C54" s="42" t="n">
        <v>1</v>
      </c>
      <c r="D54" s="42" t="inlineStr">
        <is>
          <t>Y</t>
        </is>
      </c>
      <c r="E54" s="41">
        <f>IF(C54="","",IF(AND(C54=1,D54="Y"),"yes","no"))</f>
        <v/>
      </c>
      <c r="F54" s="42" t="n">
        <v>0.109</v>
      </c>
      <c r="G54" s="42" t="n"/>
      <c r="H54" s="41">
        <f>IF(C54="","",IF(A54="empty",IF(C54=0,"yes","no"),IF(C54=1,"yes","no")))</f>
        <v/>
      </c>
    </row>
    <row r="55" ht="15" customHeight="1" s="32">
      <c r="A55" s="41" t="inlineStr">
        <is>
          <t>300 g</t>
        </is>
      </c>
      <c r="B55" s="41" t="n">
        <v>4</v>
      </c>
      <c r="C55" s="42" t="n">
        <v>1</v>
      </c>
      <c r="D55" s="42" t="inlineStr">
        <is>
          <t>Y</t>
        </is>
      </c>
      <c r="E55" s="41">
        <f>IF(C55="","",IF(AND(C55=1,D55="Y"),"yes","no"))</f>
        <v/>
      </c>
      <c r="F55" s="42" t="n">
        <v>0.121</v>
      </c>
      <c r="G55" s="42" t="n"/>
      <c r="H55" s="41">
        <f>IF(C55="","",IF(A55="empty",IF(C55=0,"yes","no"),IF(C55=1,"yes","no")))</f>
        <v/>
      </c>
    </row>
    <row r="56" ht="15" customHeight="1" s="32">
      <c r="A56" s="41" t="inlineStr">
        <is>
          <t>300 g</t>
        </is>
      </c>
      <c r="B56" s="41" t="n">
        <v>5</v>
      </c>
      <c r="C56" s="42" t="n">
        <v>1</v>
      </c>
      <c r="D56" s="42" t="inlineStr">
        <is>
          <t>Y</t>
        </is>
      </c>
      <c r="E56" s="41">
        <f>IF(C56="","",IF(AND(C56=1,D56="Y"),"yes","no"))</f>
        <v/>
      </c>
      <c r="F56" s="42" t="n">
        <v>0.133</v>
      </c>
      <c r="G56" s="42" t="n"/>
      <c r="H56" s="41">
        <f>IF(C56="","",IF(A56="empty",IF(C56=0,"yes","no"),IF(C56=1,"yes","no")))</f>
        <v/>
      </c>
    </row>
    <row r="57" ht="15" customHeight="1" s="32">
      <c r="A57" s="41" t="inlineStr">
        <is>
          <t>300 g</t>
        </is>
      </c>
      <c r="B57" s="41" t="n">
        <v>6</v>
      </c>
      <c r="C57" s="42" t="n">
        <v>1</v>
      </c>
      <c r="D57" s="42" t="inlineStr">
        <is>
          <t>Y</t>
        </is>
      </c>
      <c r="E57" s="41">
        <f>IF(C57="","",IF(AND(C57=1,D57="Y"),"yes","no"))</f>
        <v/>
      </c>
      <c r="F57" s="42" t="n">
        <v>0.099</v>
      </c>
      <c r="G57" s="42" t="n"/>
      <c r="H57" s="41">
        <f>IF(C57="","",IF(A57="empty",IF(C57=0,"yes","no"),IF(C57=1,"yes","no")))</f>
        <v/>
      </c>
    </row>
    <row r="58" ht="15" customHeight="1" s="32">
      <c r="A58" s="41" t="inlineStr">
        <is>
          <t>300 g</t>
        </is>
      </c>
      <c r="B58" s="41" t="n">
        <v>7</v>
      </c>
      <c r="C58" s="42" t="n">
        <v>1</v>
      </c>
      <c r="D58" s="42" t="inlineStr">
        <is>
          <t>Y</t>
        </is>
      </c>
      <c r="E58" s="41">
        <f>IF(C58="","",IF(AND(C58=1,D58="Y"),"yes","no"))</f>
        <v/>
      </c>
      <c r="F58" s="42" t="n">
        <v>0.111</v>
      </c>
      <c r="G58" s="42" t="n"/>
      <c r="H58" s="41">
        <f>IF(C58="","",IF(A58="empty",IF(C58=0,"yes","no"),IF(C58=1,"yes","no")))</f>
        <v/>
      </c>
    </row>
    <row r="59" ht="15" customHeight="1" s="32">
      <c r="A59" s="41" t="inlineStr">
        <is>
          <t>300 g</t>
        </is>
      </c>
      <c r="B59" s="41" t="n">
        <v>8</v>
      </c>
      <c r="C59" s="42" t="n">
        <v>1</v>
      </c>
      <c r="D59" s="42" t="inlineStr">
        <is>
          <t>Y</t>
        </is>
      </c>
      <c r="E59" s="41">
        <f>IF(C59="","",IF(AND(C59=1,D59="Y"),"yes","no"))</f>
        <v/>
      </c>
      <c r="F59" s="42" t="n">
        <v>0.125</v>
      </c>
      <c r="G59" s="42" t="n"/>
      <c r="H59" s="41">
        <f>IF(C59="","",IF(A59="empty",IF(C59=0,"yes","no"),IF(C59=1,"yes","no")))</f>
        <v/>
      </c>
    </row>
    <row r="60" ht="15" customHeight="1" s="32">
      <c r="A60" s="41" t="inlineStr">
        <is>
          <t>300 g</t>
        </is>
      </c>
      <c r="B60" s="41" t="n">
        <v>9</v>
      </c>
      <c r="C60" s="42" t="n">
        <v>1</v>
      </c>
      <c r="D60" s="42" t="inlineStr">
        <is>
          <t>Y</t>
        </is>
      </c>
      <c r="E60" s="41">
        <f>IF(C60="","",IF(AND(C60=1,D60="Y"),"yes","no"))</f>
        <v/>
      </c>
      <c r="F60" s="42" t="n">
        <v>0.101</v>
      </c>
      <c r="G60" s="42" t="n"/>
      <c r="H60" s="41">
        <f>IF(C60="","",IF(A60="empty",IF(C60=0,"yes","no"),IF(C60=1,"yes","no")))</f>
        <v/>
      </c>
    </row>
    <row r="61" ht="15" customHeight="1" s="32">
      <c r="A61" s="41" t="inlineStr">
        <is>
          <t>300 g</t>
        </is>
      </c>
      <c r="B61" s="41" t="n">
        <v>10</v>
      </c>
      <c r="C61" s="42" t="n">
        <v>1</v>
      </c>
      <c r="D61" s="42" t="inlineStr">
        <is>
          <t>Y</t>
        </is>
      </c>
      <c r="E61" s="41">
        <f>IF(C61="","",IF(AND(C61=1,D61="Y"),"yes","no"))</f>
        <v/>
      </c>
      <c r="F61" s="42" t="n">
        <v>0.132</v>
      </c>
      <c r="G61" s="42" t="n"/>
      <c r="H61" s="41">
        <f>IF(C61="","",IF(A61="empty",IF(C61=0,"yes","no"),IF(C61=1,"yes","no")))</f>
        <v/>
      </c>
    </row>
    <row r="62" ht="15" customHeight="1" s="32">
      <c r="A62" s="41" t="inlineStr">
        <is>
          <t>400 g</t>
        </is>
      </c>
      <c r="B62" s="41" t="n">
        <v>1</v>
      </c>
      <c r="C62" s="42" t="n">
        <v>1</v>
      </c>
      <c r="D62" s="42" t="inlineStr">
        <is>
          <t>Y</t>
        </is>
      </c>
      <c r="E62" s="41">
        <f>IF(C62="","",IF(AND(C62=1,D62="Y"),"yes","no"))</f>
        <v/>
      </c>
      <c r="F62" s="42" t="n">
        <v>0.134</v>
      </c>
      <c r="G62" s="42" t="n"/>
      <c r="H62" s="41">
        <f>IF(C62="","",IF(A62="empty",IF(C62=0,"yes","no"),IF(C62=1,"yes","no")))</f>
        <v/>
      </c>
    </row>
    <row r="63" ht="15" customHeight="1" s="32">
      <c r="A63" s="41" t="inlineStr">
        <is>
          <t>400 g</t>
        </is>
      </c>
      <c r="B63" s="41" t="n">
        <v>2</v>
      </c>
      <c r="C63" s="42" t="n">
        <v>1</v>
      </c>
      <c r="D63" s="42" t="inlineStr">
        <is>
          <t>Y</t>
        </is>
      </c>
      <c r="E63" s="41">
        <f>IF(C63="","",IF(AND(C63=1,D63="Y"),"yes","no"))</f>
        <v/>
      </c>
      <c r="F63" s="42" t="n">
        <v>0.148</v>
      </c>
      <c r="G63" s="42" t="n"/>
      <c r="H63" s="41">
        <f>IF(C63="","",IF(A63="empty",IF(C63=0,"yes","no"),IF(C63=1,"yes","no")))</f>
        <v/>
      </c>
    </row>
    <row r="64" ht="30" customHeight="1" s="32">
      <c r="A64" s="41" t="inlineStr">
        <is>
          <t>400 g</t>
        </is>
      </c>
      <c r="B64" s="41" t="n">
        <v>3</v>
      </c>
      <c r="C64" s="42" t="n">
        <v>1</v>
      </c>
      <c r="D64" s="42" t="inlineStr">
        <is>
          <t>Y</t>
        </is>
      </c>
      <c r="E64" s="41">
        <f>IF(C64="","",IF(AND(C64=1,D64="Y"),"yes","no"))</f>
        <v/>
      </c>
      <c r="F64" s="42" t="n">
        <v>0.141</v>
      </c>
      <c r="G64" s="42" t="n"/>
      <c r="H64" s="41">
        <f>IF(C64="","",IF(A64="empty",IF(C64=0,"yes","no"),IF(C64=1,"yes","no")))</f>
        <v/>
      </c>
    </row>
    <row r="65" ht="15" customHeight="1" s="32">
      <c r="A65" s="41" t="inlineStr">
        <is>
          <t>400 g</t>
        </is>
      </c>
      <c r="B65" s="41" t="n">
        <v>4</v>
      </c>
      <c r="C65" s="42" t="n">
        <v>1</v>
      </c>
      <c r="D65" s="42" t="inlineStr">
        <is>
          <t>Y</t>
        </is>
      </c>
      <c r="E65" s="41">
        <f>IF(C65="","",IF(AND(C65=1,D65="Y"),"yes","no"))</f>
        <v/>
      </c>
      <c r="F65" s="42" t="n">
        <v>0.147</v>
      </c>
      <c r="G65" s="42" t="n"/>
      <c r="H65" s="41">
        <f>IF(C65="","",IF(A65="empty",IF(C65=0,"yes","no"),IF(C65=1,"yes","no")))</f>
        <v/>
      </c>
    </row>
    <row r="66" ht="15" customHeight="1" s="32">
      <c r="A66" s="41" t="inlineStr">
        <is>
          <t>400 g</t>
        </is>
      </c>
      <c r="B66" s="41" t="n">
        <v>5</v>
      </c>
      <c r="C66" s="42" t="n">
        <v>1</v>
      </c>
      <c r="D66" s="42" t="inlineStr">
        <is>
          <t>Y</t>
        </is>
      </c>
      <c r="E66" s="41">
        <f>IF(C66="","",IF(AND(C66=1,D66="Y"),"yes","no"))</f>
        <v/>
      </c>
      <c r="F66" s="42" t="n">
        <v>0.14</v>
      </c>
      <c r="G66" s="42" t="n"/>
      <c r="H66" s="41">
        <f>IF(C66="","",IF(A66="empty",IF(C66=0,"yes","no"),IF(C66=1,"yes","no")))</f>
        <v/>
      </c>
    </row>
    <row r="67" ht="15" customHeight="1" s="32">
      <c r="A67" s="41" t="inlineStr">
        <is>
          <t>400 g</t>
        </is>
      </c>
      <c r="B67" s="41" t="n">
        <v>6</v>
      </c>
      <c r="C67" s="42" t="n">
        <v>1</v>
      </c>
      <c r="D67" s="42" t="inlineStr">
        <is>
          <t>Y</t>
        </is>
      </c>
      <c r="E67" s="41">
        <f>IF(C67="","",IF(AND(C67=1,D67="Y"),"yes","no"))</f>
        <v/>
      </c>
      <c r="F67" s="42" t="n">
        <v>0.128</v>
      </c>
      <c r="G67" s="42" t="n"/>
      <c r="H67" s="41">
        <f>IF(C67="","",IF(A67="empty",IF(C67=0,"yes","no"),IF(C67=1,"yes","no")))</f>
        <v/>
      </c>
    </row>
    <row r="68" ht="15" customHeight="1" s="32">
      <c r="A68" s="41" t="inlineStr">
        <is>
          <t>400 g</t>
        </is>
      </c>
      <c r="B68" s="41" t="n">
        <v>7</v>
      </c>
      <c r="C68" s="42" t="n">
        <v>1</v>
      </c>
      <c r="D68" s="42" t="inlineStr">
        <is>
          <t>Y</t>
        </is>
      </c>
      <c r="E68" s="41">
        <f>IF(C68="","",IF(AND(C68=1,D68="Y"),"yes","no"))</f>
        <v/>
      </c>
      <c r="F68" s="42" t="n">
        <v>0.139</v>
      </c>
      <c r="G68" s="42" t="n"/>
      <c r="H68" s="41">
        <f>IF(C68="","",IF(A68="empty",IF(C68=0,"yes","no"),IF(C68=1,"yes","no")))</f>
        <v/>
      </c>
    </row>
    <row r="69" ht="15" customHeight="1" s="32">
      <c r="A69" s="41" t="inlineStr">
        <is>
          <t>400 g</t>
        </is>
      </c>
      <c r="B69" s="41" t="n">
        <v>8</v>
      </c>
      <c r="C69" s="42" t="n">
        <v>1</v>
      </c>
      <c r="D69" s="42" t="inlineStr">
        <is>
          <t>N</t>
        </is>
      </c>
      <c r="E69" s="41">
        <f>IF(C69="","",IF(AND(C69=1,D69="Y"),"yes","no"))</f>
        <v/>
      </c>
      <c r="F69" s="42" t="n">
        <v>0.12</v>
      </c>
      <c r="G69" s="42" t="inlineStr">
        <is>
          <t>payload rotated about the jaw axis during the lift (no drop, no K,2)</t>
        </is>
      </c>
      <c r="H69" s="41">
        <f>IF(C69="","",IF(A69="empty",IF(C69=0,"yes","no"),IF(C69=1,"yes","no")))</f>
        <v/>
      </c>
    </row>
    <row r="70" ht="15" customHeight="1" s="32">
      <c r="A70" s="41" t="inlineStr">
        <is>
          <t>400 g</t>
        </is>
      </c>
      <c r="B70" s="41" t="n">
        <v>9</v>
      </c>
      <c r="C70" s="42" t="n">
        <v>1</v>
      </c>
      <c r="D70" s="42" t="inlineStr">
        <is>
          <t>Y</t>
        </is>
      </c>
      <c r="E70" s="41">
        <f>IF(C70="","",IF(AND(C70=1,D70="Y"),"yes","no"))</f>
        <v/>
      </c>
      <c r="F70" s="42" t="n">
        <v>0.124</v>
      </c>
      <c r="G70" s="42" t="n"/>
      <c r="H70" s="41">
        <f>IF(C70="","",IF(A70="empty",IF(C70=0,"yes","no"),IF(C70=1,"yes","no")))</f>
        <v/>
      </c>
    </row>
    <row r="71" ht="15" customHeight="1" s="32">
      <c r="A71" s="41" t="inlineStr">
        <is>
          <t>400 g</t>
        </is>
      </c>
      <c r="B71" s="41" t="n">
        <v>10</v>
      </c>
      <c r="C71" s="42" t="n">
        <v>1</v>
      </c>
      <c r="D71" s="42" t="inlineStr">
        <is>
          <t>Y</t>
        </is>
      </c>
      <c r="E71" s="41">
        <f>IF(C71="","",IF(AND(C71=1,D71="Y"),"yes","no"))</f>
        <v/>
      </c>
      <c r="F71" s="42" t="n">
        <v>0.125</v>
      </c>
      <c r="G71" s="42" t="n"/>
      <c r="H71" s="41">
        <f>IF(C71="","",IF(A71="empty",IF(C71=0,"yes","no"),IF(C71=1,"yes","no")))</f>
        <v/>
      </c>
    </row>
    <row r="72" ht="15" customHeight="1" s="32">
      <c r="A72" s="41" t="inlineStr">
        <is>
          <t>500 g</t>
        </is>
      </c>
      <c r="B72" s="41" t="n">
        <v>1</v>
      </c>
      <c r="C72" s="42" t="n">
        <v>1</v>
      </c>
      <c r="D72" s="42" t="inlineStr">
        <is>
          <t>Y</t>
        </is>
      </c>
      <c r="E72" s="41">
        <f>IF(C72="","",IF(AND(C72=1,D72="Y"),"yes","no"))</f>
        <v/>
      </c>
      <c r="F72" s="42" t="n">
        <v>0.16</v>
      </c>
      <c r="G72" s="42" t="n"/>
      <c r="H72" s="41">
        <f>IF(C72="","",IF(A72="empty",IF(C72=0,"yes","no"),IF(C72=1,"yes","no")))</f>
        <v/>
      </c>
    </row>
    <row r="73" ht="15" customHeight="1" s="32">
      <c r="A73" s="41" t="inlineStr">
        <is>
          <t>500 g</t>
        </is>
      </c>
      <c r="B73" s="41" t="n">
        <v>2</v>
      </c>
      <c r="C73" s="42" t="n">
        <v>1</v>
      </c>
      <c r="D73" s="42" t="inlineStr">
        <is>
          <t>Y</t>
        </is>
      </c>
      <c r="E73" s="41">
        <f>IF(C73="","",IF(AND(C73=1,D73="Y"),"yes","no"))</f>
        <v/>
      </c>
      <c r="F73" s="42" t="n">
        <v>0.162</v>
      </c>
      <c r="G73" s="42" t="n"/>
      <c r="H73" s="41">
        <f>IF(C73="","",IF(A73="empty",IF(C73=0,"yes","no"),IF(C73=1,"yes","no")))</f>
        <v/>
      </c>
    </row>
    <row r="74" ht="15" customHeight="1" s="32">
      <c r="A74" s="41" t="inlineStr">
        <is>
          <t>500 g</t>
        </is>
      </c>
      <c r="B74" s="41" t="n">
        <v>3</v>
      </c>
      <c r="C74" s="42" t="n">
        <v>1</v>
      </c>
      <c r="D74" s="42" t="inlineStr">
        <is>
          <t>Y</t>
        </is>
      </c>
      <c r="E74" s="41">
        <f>IF(C74="","",IF(AND(C74=1,D74="Y"),"yes","no"))</f>
        <v/>
      </c>
      <c r="F74" s="42" t="n">
        <v>0.212</v>
      </c>
      <c r="G74" s="42" t="n"/>
      <c r="H74" s="41">
        <f>IF(C74="","",IF(A74="empty",IF(C74=0,"yes","no"),IF(C74=1,"yes","no")))</f>
        <v/>
      </c>
    </row>
    <row r="75" ht="15" customHeight="1" s="32">
      <c r="A75" s="41" t="inlineStr">
        <is>
          <t>500 g</t>
        </is>
      </c>
      <c r="B75" s="41" t="n">
        <v>4</v>
      </c>
      <c r="C75" s="42" t="n">
        <v>1</v>
      </c>
      <c r="D75" s="42" t="inlineStr">
        <is>
          <t>Y</t>
        </is>
      </c>
      <c r="E75" s="41">
        <f>IF(C75="","",IF(AND(C75=1,D75="Y"),"yes","no"))</f>
        <v/>
      </c>
      <c r="F75" s="42" t="n">
        <v>0.167</v>
      </c>
      <c r="G75" s="42" t="n"/>
      <c r="H75" s="41">
        <f>IF(C75="","",IF(A75="empty",IF(C75=0,"yes","no"),IF(C75=1,"yes","no")))</f>
        <v/>
      </c>
    </row>
    <row r="76" ht="15" customHeight="1" s="32">
      <c r="A76" s="41" t="inlineStr">
        <is>
          <t>500 g</t>
        </is>
      </c>
      <c r="B76" s="41" t="n">
        <v>5</v>
      </c>
      <c r="C76" s="42" t="n">
        <v>1</v>
      </c>
      <c r="D76" s="42" t="inlineStr">
        <is>
          <t>Y</t>
        </is>
      </c>
      <c r="E76" s="41">
        <f>IF(C76="","",IF(AND(C76=1,D76="Y"),"yes","no"))</f>
        <v/>
      </c>
      <c r="F76" s="42" t="n">
        <v>0.14</v>
      </c>
      <c r="G76" s="42" t="n"/>
      <c r="H76" s="41">
        <f>IF(C76="","",IF(A76="empty",IF(C76=0,"yes","no"),IF(C76=1,"yes","no")))</f>
        <v/>
      </c>
    </row>
    <row r="77" ht="15" customHeight="1" s="32">
      <c r="A77" s="41" t="inlineStr">
        <is>
          <t>500 g</t>
        </is>
      </c>
      <c r="B77" s="41" t="n">
        <v>6</v>
      </c>
      <c r="C77" s="42" t="n">
        <v>1</v>
      </c>
      <c r="D77" s="42" t="inlineStr">
        <is>
          <t>N</t>
        </is>
      </c>
      <c r="E77" s="41">
        <f>IF(C77="","",IF(AND(C77=1,D77="Y"),"yes","no"))</f>
        <v/>
      </c>
      <c r="F77" s="42" t="n">
        <v>0.133</v>
      </c>
      <c r="G77" s="42" t="inlineStr">
        <is>
          <t>payload slipped/rotated in the jaws during the lift (no drop, no K,2)</t>
        </is>
      </c>
      <c r="H77" s="41">
        <f>IF(C77="","",IF(A77="empty",IF(C77=0,"yes","no"),IF(C77=1,"yes","no")))</f>
        <v/>
      </c>
    </row>
    <row r="78" ht="15" customHeight="1" s="32">
      <c r="A78" s="41" t="inlineStr">
        <is>
          <t>500 g</t>
        </is>
      </c>
      <c r="B78" s="41" t="n">
        <v>7</v>
      </c>
      <c r="C78" s="42" t="n">
        <v>1</v>
      </c>
      <c r="D78" s="42" t="inlineStr">
        <is>
          <t>Y</t>
        </is>
      </c>
      <c r="E78" s="41">
        <f>IF(C78="","",IF(AND(C78=1,D78="Y"),"yes","no"))</f>
        <v/>
      </c>
      <c r="F78" s="42" t="n">
        <v>0.147</v>
      </c>
      <c r="G78" s="42" t="n"/>
      <c r="H78" s="41">
        <f>IF(C78="","",IF(A78="empty",IF(C78=0,"yes","no"),IF(C78=1,"yes","no")))</f>
        <v/>
      </c>
    </row>
    <row r="79" ht="15" customHeight="1" s="32">
      <c r="A79" s="41" t="inlineStr">
        <is>
          <t>500 g</t>
        </is>
      </c>
      <c r="B79" s="41" t="n">
        <v>8</v>
      </c>
      <c r="C79" s="42" t="n">
        <v>1</v>
      </c>
      <c r="D79" s="42" t="inlineStr">
        <is>
          <t>Y</t>
        </is>
      </c>
      <c r="E79" s="41">
        <f>IF(C79="","",IF(AND(C79=1,D79="Y"),"yes","no"))</f>
        <v/>
      </c>
      <c r="F79" s="42" t="n">
        <v>0.142</v>
      </c>
      <c r="G79" s="42" t="n"/>
      <c r="H79" s="41">
        <f>IF(C79="","",IF(A79="empty",IF(C79=0,"yes","no"),IF(C79=1,"yes","no")))</f>
        <v/>
      </c>
    </row>
    <row r="80" ht="15" customHeight="1" s="32">
      <c r="A80" s="41" t="inlineStr">
        <is>
          <t>500 g</t>
        </is>
      </c>
      <c r="B80" s="41" t="n">
        <v>9</v>
      </c>
      <c r="C80" s="42" t="n">
        <v>1</v>
      </c>
      <c r="D80" s="42" t="inlineStr">
        <is>
          <t>Y</t>
        </is>
      </c>
      <c r="E80" s="41">
        <f>IF(C80="","",IF(AND(C80=1,D80="Y"),"yes","no"))</f>
        <v/>
      </c>
      <c r="F80" s="42" t="n">
        <v>0.175</v>
      </c>
      <c r="G80" s="42" t="n"/>
      <c r="H80" s="41">
        <f>IF(C80="","",IF(A80="empty",IF(C80=0,"yes","no"),IF(C80=1,"yes","no")))</f>
        <v/>
      </c>
    </row>
    <row r="81" ht="15" customHeight="1" s="32">
      <c r="A81" s="41" t="inlineStr">
        <is>
          <t>500 g</t>
        </is>
      </c>
      <c r="B81" s="41" t="n">
        <v>10</v>
      </c>
      <c r="C81" s="42" t="n">
        <v>1</v>
      </c>
      <c r="D81" s="42" t="inlineStr">
        <is>
          <t>Y</t>
        </is>
      </c>
      <c r="E81" s="41">
        <f>IF(C81="","",IF(AND(C81=1,D81="Y"),"yes","no"))</f>
        <v/>
      </c>
      <c r="F81" s="42" t="n">
        <v>0.146</v>
      </c>
      <c r="G81" s="42" t="n"/>
      <c r="H81" s="41">
        <f>IF(C81="","",IF(A81="empty",IF(C81=0,"yes","no"),IF(C81=1,"yes","no")))</f>
        <v/>
      </c>
    </row>
    <row r="83" ht="15" customHeight="1" s="32">
      <c r="A83" s="38" t="inlineStr">
        <is>
          <t>Summary</t>
        </is>
      </c>
    </row>
    <row r="84" ht="23.25" customHeight="1" s="32">
      <c r="A84" s="35" t="inlineStr">
        <is>
          <t>Payload</t>
        </is>
      </c>
      <c r="B84" s="35" t="inlineStr">
        <is>
          <t>Trials done</t>
        </is>
      </c>
      <c r="C84" s="35" t="inlineStr">
        <is>
          <t>Correct</t>
        </is>
      </c>
      <c r="D84" s="35" t="inlineStr">
        <is>
          <t>Result</t>
        </is>
      </c>
      <c r="E84" s="35" t="inlineStr">
        <is>
          <t>Detection only (K line right)</t>
        </is>
      </c>
    </row>
    <row r="85" ht="15" customHeight="1" s="32">
      <c r="A85" s="41" t="inlineStr">
        <is>
          <t>empty</t>
        </is>
      </c>
      <c r="B85" s="41">
        <f>COUNTIFS($A$12:$A$81,"empty",$E$12:$E$81,"yes")+COUNTIFS($A$12:$A$81,"empty",$E$12:$E$81,"no")</f>
        <v/>
      </c>
      <c r="C85" s="41">
        <f>COUNTIFS($A$12:$A$81,"empty",$E$12:$E$81,"yes")</f>
        <v/>
      </c>
      <c r="D85" s="53">
        <f>IF(B85&lt;10,"not done",IF(C85&gt;=9,"PASS","FAIL"))</f>
        <v/>
      </c>
      <c r="E85" s="41">
        <f>COUNTIFS($A$12:$A$81,A85,$H$12:$H$81,"yes")&amp;" / "&amp;B85</f>
        <v/>
      </c>
    </row>
    <row r="86" ht="15" customHeight="1" s="32">
      <c r="A86" s="41" t="inlineStr">
        <is>
          <t>50 g</t>
        </is>
      </c>
      <c r="B86" s="41">
        <f>COUNTIFS($A$12:$A$81,"50 g",$E$12:$E$81,"yes")+COUNTIFS($A$12:$A$81,"50 g",$E$12:$E$81,"no")</f>
        <v/>
      </c>
      <c r="C86" s="41">
        <f>COUNTIFS($A$12:$A$81,"50 g",$E$12:$E$81,"yes")</f>
        <v/>
      </c>
      <c r="D86" s="53">
        <f>IF(B86&lt;10,"not done",IF(C86&gt;=9,"PASS","FAIL"))</f>
        <v/>
      </c>
      <c r="E86" s="41">
        <f>COUNTIFS($A$12:$A$81,A86,$H$12:$H$81,"yes")&amp;" / "&amp;B86</f>
        <v/>
      </c>
    </row>
    <row r="87" ht="15" customHeight="1" s="32">
      <c r="A87" s="41" t="inlineStr">
        <is>
          <t>100 g</t>
        </is>
      </c>
      <c r="B87" s="41">
        <f>COUNTIFS($A$12:$A$81,"100 g",$E$12:$E$81,"yes")+COUNTIFS($A$12:$A$81,"100 g",$E$12:$E$81,"no")</f>
        <v/>
      </c>
      <c r="C87" s="41">
        <f>COUNTIFS($A$12:$A$81,"100 g",$E$12:$E$81,"yes")</f>
        <v/>
      </c>
      <c r="D87" s="53">
        <f>IF(B87&lt;10,"not done",IF(C87&gt;=9,"PASS","FAIL"))</f>
        <v/>
      </c>
      <c r="E87" s="41">
        <f>COUNTIFS($A$12:$A$81,A87,$H$12:$H$81,"yes")&amp;" / "&amp;B87</f>
        <v/>
      </c>
    </row>
    <row r="88" ht="15" customHeight="1" s="32">
      <c r="A88" s="41" t="inlineStr">
        <is>
          <t>200 g</t>
        </is>
      </c>
      <c r="B88" s="41">
        <f>COUNTIFS($A$12:$A$81,"200 g",$E$12:$E$81,"yes")+COUNTIFS($A$12:$A$81,"200 g",$E$12:$E$81,"no")</f>
        <v/>
      </c>
      <c r="C88" s="41">
        <f>COUNTIFS($A$12:$A$81,"200 g",$E$12:$E$81,"yes")</f>
        <v/>
      </c>
      <c r="D88" s="53">
        <f>IF(B88&lt;10,"not done",IF(C88&gt;=9,"PASS","FAIL"))</f>
        <v/>
      </c>
      <c r="E88" s="41">
        <f>COUNTIFS($A$12:$A$81,A88,$H$12:$H$81,"yes")&amp;" / "&amp;B88</f>
        <v/>
      </c>
    </row>
    <row r="89" ht="15" customHeight="1" s="32">
      <c r="A89" s="41" t="inlineStr">
        <is>
          <t>300 g</t>
        </is>
      </c>
      <c r="B89" s="41">
        <f>COUNTIFS($A$12:$A$81,"300 g",$E$12:$E$81,"yes")+COUNTIFS($A$12:$A$81,"300 g",$E$12:$E$81,"no")</f>
        <v/>
      </c>
      <c r="C89" s="41">
        <f>COUNTIFS($A$12:$A$81,"300 g",$E$12:$E$81,"yes")</f>
        <v/>
      </c>
      <c r="D89" s="53">
        <f>IF(B89&lt;10,"not done",IF(C89&gt;=9,"PASS","FAIL"))</f>
        <v/>
      </c>
      <c r="E89" s="41">
        <f>COUNTIFS($A$12:$A$81,A89,$H$12:$H$81,"yes")&amp;" / "&amp;B89</f>
        <v/>
      </c>
    </row>
    <row r="90" ht="15" customHeight="1" s="32">
      <c r="A90" s="41" t="inlineStr">
        <is>
          <t>400 g</t>
        </is>
      </c>
      <c r="B90" s="41">
        <f>COUNTIFS($A$12:$A$81,"400 g",$E$12:$E$81,"yes")+COUNTIFS($A$12:$A$81,"400 g",$E$12:$E$81,"no")</f>
        <v/>
      </c>
      <c r="C90" s="41">
        <f>COUNTIFS($A$12:$A$81,"400 g",$E$12:$E$81,"yes")</f>
        <v/>
      </c>
      <c r="D90" s="53">
        <f>IF(B90&lt;10,"not done",IF(C90&gt;=9,"PASS","FAIL"))</f>
        <v/>
      </c>
      <c r="E90" s="41">
        <f>COUNTIFS($A$12:$A$81,A90,$H$12:$H$81,"yes")&amp;" / "&amp;B90</f>
        <v/>
      </c>
    </row>
    <row r="91" ht="15" customHeight="1" s="32">
      <c r="A91" s="41" t="inlineStr">
        <is>
          <t>500 g</t>
        </is>
      </c>
      <c r="B91" s="41">
        <f>COUNTIFS($A$12:$A$81,"500 g",$E$12:$E$81,"yes")+COUNTIFS($A$12:$A$81,"500 g",$E$12:$E$81,"no")</f>
        <v/>
      </c>
      <c r="C91" s="41">
        <f>COUNTIFS($A$12:$A$81,"500 g",$E$12:$E$81,"yes")</f>
        <v/>
      </c>
      <c r="D91" s="53">
        <f>IF(B91&lt;10,"not done",IF(C91&gt;=9,"PASS","FAIL"))</f>
        <v/>
      </c>
      <c r="E91" s="41">
        <f>COUNTIFS($A$12:$A$81,A91,$H$12:$H$81,"yes")&amp;" / "&amp;B91</f>
        <v/>
      </c>
    </row>
    <row r="92" ht="15" customHeight="1" s="32">
      <c r="A92" s="41" t="inlineStr">
        <is>
          <t>All</t>
        </is>
      </c>
      <c r="D92" s="53">
        <f>IF(COUNTIF(D85:D91,"not done")&gt;0,"not done",IF(COUNTIF(D85:D91,"FAIL")&gt;0,"FAIL","PASS"))</f>
        <v/>
      </c>
    </row>
    <row r="94" ht="15" customHeight="1" s="32">
      <c r="A94" s="34" t="inlineStr">
        <is>
          <t>Already measured (11 Oct 2026, c 950 capture): closing spike up to 2.5 A for 6–170 ms, a second burst at 195–240 ms (up to 3.1 A with no cube), empty closures back at idle (0.009 A) by about 350 ms; held cube 0.11–0.13 A. Hence the 450 ms delay.</t>
        </is>
      </c>
    </row>
  </sheetData>
  <mergeCells count="7">
    <mergeCell ref="A9:G9"/>
    <mergeCell ref="A8:G8"/>
    <mergeCell ref="A6:G6"/>
    <mergeCell ref="I17:L19"/>
    <mergeCell ref="A4:G4"/>
    <mergeCell ref="A7:G7"/>
    <mergeCell ref="A5:G5"/>
  </mergeCells>
  <dataValidations count="1">
    <dataValidation sqref="D12:D61" showDropDown="0" showInputMessage="0" showErrorMessage="0" allowBlank="1" type="list" errorStyle="stop" operator="between">
      <formula1>"Y,N"</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J17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31" min="1" max="1"/>
    <col width="7" customWidth="1" style="31" min="2" max="2"/>
    <col width="12" customWidth="1" style="31" min="3" max="10"/>
  </cols>
  <sheetData>
    <row r="1" ht="17.25" customHeight="1" s="32">
      <c r="A1" s="33" t="inlineStr">
        <is>
          <t>8.6 Positioning accuracy and repeatability (R12: ±10 mm, Objective 7)</t>
        </is>
      </c>
    </row>
    <row r="2" ht="15" customHeight="1" s="32">
      <c r="A2" s="34" t="inlineStr">
        <is>
          <t>ISO 9283 style: accuracy = distance from the target to the mean position; repeatability = mean distance from the centroid + 3 standard deviations.</t>
        </is>
      </c>
    </row>
    <row r="4" ht="45" customHeight="1" s="32">
      <c r="A4" s="45" t="inlineStr">
        <is>
          <t>Setup: target mat with crosses measured from the BASE AXIS. A pointer (pin, dowel or pen) in the jaws with its tip at the TCP. Enter each target in the GUI (Cartesian target) and run it from the same home pose every time.</t>
        </is>
      </c>
    </row>
    <row r="5" ht="45" customHeight="1" s="32">
      <c r="A5" s="45" t="inlineStr">
        <is>
          <t>Each target: approaches from home via a point above the target. Read the tip offset from the cross along the target ray: radial (+ = beyond the target, − = short) and lateral (+ = right of the ray, − = left, seen from the base looking out along the ray), in mm.</t>
        </is>
      </c>
    </row>
    <row r="6" ht="30" customHeight="1" s="32">
      <c r="A6" s="45" t="inlineStr">
        <is>
          <t>Allow about 2 s for the base to settle before marking. T10 and T11 repeat T9 and T7 with 500 g in the gripper (sag).</t>
        </is>
      </c>
    </row>
    <row r="7" ht="15" customHeight="1" s="32">
      <c r="A7" s="45" t="inlineStr">
        <is>
          <t>Pass: accuracy ≤ 10 mm at every target. Compare with the 54 mm reported by Al Tahtawi et al.</t>
        </is>
      </c>
    </row>
    <row r="8" ht="25.5" customHeight="1" s="32">
      <c r="A8" s="40" t="inlineStr">
        <is>
          <t>Legend: yellow cells = fill in during the test. Green cells = already measured during bring-up (keep or overwrite). White cells are formulas; do not type in them. The grey example row is not counted.</t>
        </is>
      </c>
    </row>
    <row r="9" ht="15" customHeight="1" s="32">
      <c r="A9" s="38" t="inlineStr">
        <is>
          <t>Targets</t>
        </is>
      </c>
    </row>
    <row r="10" ht="30" customHeight="1" s="32">
      <c r="A10" s="35" t="inlineStr">
        <is>
          <t>Target</t>
        </is>
      </c>
      <c r="B10" s="35" t="n"/>
      <c r="C10" s="35" t="inlineStr">
        <is>
          <t>Radius (mm)</t>
        </is>
      </c>
      <c r="D10" s="35" t="inlineStr">
        <is>
          <t>Base angle (°)</t>
        </is>
      </c>
      <c r="E10" s="35" t="inlineStr">
        <is>
          <t>x (mm)</t>
        </is>
      </c>
      <c r="F10" s="35" t="inlineStr">
        <is>
          <t>y (mm)</t>
        </is>
      </c>
      <c r="G10" s="35" t="inlineStr">
        <is>
          <t>Gripper</t>
        </is>
      </c>
      <c r="H10" s="35" t="inlineStr">
        <is>
          <t>Load</t>
        </is>
      </c>
      <c r="I10" s="35" t="inlineStr">
        <is>
          <t>Notes</t>
        </is>
      </c>
    </row>
    <row r="11" ht="15" customHeight="1" s="32">
      <c r="A11" s="41" t="inlineStr">
        <is>
          <t>T1</t>
        </is>
      </c>
      <c r="B11" s="41" t="n"/>
      <c r="C11" s="42" t="n">
        <v>250</v>
      </c>
      <c r="D11" s="42" t="n">
        <v>-50</v>
      </c>
      <c r="E11" s="49">
        <f>C11*COS(RADIANS(D11))</f>
        <v/>
      </c>
      <c r="F11" s="49">
        <f>-C11*SIN(RADIANS(D11))</f>
        <v/>
      </c>
      <c r="G11" s="41" t="inlineStr">
        <is>
          <t>vertical</t>
        </is>
      </c>
      <c r="H11" s="41" t="inlineStr">
        <is>
          <t>0 g</t>
        </is>
      </c>
      <c r="I11" s="42" t="n"/>
    </row>
    <row r="12" ht="15" customHeight="1" s="32">
      <c r="A12" s="41" t="inlineStr">
        <is>
          <t>T2</t>
        </is>
      </c>
      <c r="B12" s="41" t="n"/>
      <c r="C12" s="42" t="n">
        <v>250</v>
      </c>
      <c r="D12" s="42" t="n">
        <v>-35</v>
      </c>
      <c r="E12" s="49">
        <f>C12*COS(RADIANS(D12))</f>
        <v/>
      </c>
      <c r="F12" s="49">
        <f>-C12*SIN(RADIANS(D12))</f>
        <v/>
      </c>
      <c r="G12" s="41" t="inlineStr">
        <is>
          <t>vertical</t>
        </is>
      </c>
      <c r="H12" s="41" t="inlineStr">
        <is>
          <t>0 g</t>
        </is>
      </c>
      <c r="I12" s="42" t="n"/>
    </row>
    <row r="13" ht="15" customHeight="1" s="32">
      <c r="A13" s="41" t="inlineStr">
        <is>
          <t>T3</t>
        </is>
      </c>
      <c r="B13" s="41" t="n"/>
      <c r="C13" s="42" t="n">
        <v>250</v>
      </c>
      <c r="D13" s="42" t="n">
        <v>35</v>
      </c>
      <c r="E13" s="49">
        <f>C13*COS(RADIANS(D13))</f>
        <v/>
      </c>
      <c r="F13" s="49">
        <f>-C13*SIN(RADIANS(D13))</f>
        <v/>
      </c>
      <c r="G13" s="41" t="inlineStr">
        <is>
          <t>vertical</t>
        </is>
      </c>
      <c r="H13" s="41" t="inlineStr">
        <is>
          <t>0 g</t>
        </is>
      </c>
      <c r="I13" s="42" t="n"/>
    </row>
    <row r="14" ht="15" customHeight="1" s="32">
      <c r="A14" s="41" t="inlineStr">
        <is>
          <t>T4</t>
        </is>
      </c>
      <c r="B14" s="41" t="n"/>
      <c r="C14" s="42" t="n">
        <v>250</v>
      </c>
      <c r="D14" s="42" t="n">
        <v>50</v>
      </c>
      <c r="E14" s="49">
        <f>C14*COS(RADIANS(D14))</f>
        <v/>
      </c>
      <c r="F14" s="49">
        <f>-C14*SIN(RADIANS(D14))</f>
        <v/>
      </c>
      <c r="G14" s="41" t="inlineStr">
        <is>
          <t>vertical</t>
        </is>
      </c>
      <c r="H14" s="41" t="inlineStr">
        <is>
          <t>0 g</t>
        </is>
      </c>
      <c r="I14" s="42" t="n"/>
    </row>
    <row r="15" ht="15" customHeight="1" s="32">
      <c r="A15" s="41" t="inlineStr">
        <is>
          <t>T5</t>
        </is>
      </c>
      <c r="B15" s="41" t="n"/>
      <c r="C15" s="42" t="n">
        <v>350</v>
      </c>
      <c r="D15" s="42" t="n">
        <v>-50</v>
      </c>
      <c r="E15" s="49">
        <f>C15*COS(RADIANS(D15))</f>
        <v/>
      </c>
      <c r="F15" s="49">
        <f>-C15*SIN(RADIANS(D15))</f>
        <v/>
      </c>
      <c r="G15" s="41" t="inlineStr">
        <is>
          <t>vertical</t>
        </is>
      </c>
      <c r="H15" s="41" t="inlineStr">
        <is>
          <t>0 g</t>
        </is>
      </c>
      <c r="I15" s="42" t="n"/>
    </row>
    <row r="16" ht="15" customHeight="1" s="32">
      <c r="A16" s="41" t="inlineStr">
        <is>
          <t>T6</t>
        </is>
      </c>
      <c r="B16" s="41" t="n"/>
      <c r="C16" s="42" t="n">
        <v>350</v>
      </c>
      <c r="D16" s="42" t="n">
        <v>-35</v>
      </c>
      <c r="E16" s="49">
        <f>C16*COS(RADIANS(D16))</f>
        <v/>
      </c>
      <c r="F16" s="49">
        <f>-C16*SIN(RADIANS(D16))</f>
        <v/>
      </c>
      <c r="G16" s="41" t="inlineStr">
        <is>
          <t>vertical</t>
        </is>
      </c>
      <c r="H16" s="41" t="inlineStr">
        <is>
          <t>0 g</t>
        </is>
      </c>
      <c r="I16" s="42" t="n"/>
    </row>
    <row r="17" ht="15" customHeight="1" s="32">
      <c r="A17" s="41" t="inlineStr">
        <is>
          <t>T7</t>
        </is>
      </c>
      <c r="B17" s="41" t="n"/>
      <c r="C17" s="42" t="n">
        <v>350</v>
      </c>
      <c r="D17" s="42" t="n">
        <v>35</v>
      </c>
      <c r="E17" s="49">
        <f>C17*COS(RADIANS(D17))</f>
        <v/>
      </c>
      <c r="F17" s="49">
        <f>-C17*SIN(RADIANS(D17))</f>
        <v/>
      </c>
      <c r="G17" s="41" t="inlineStr">
        <is>
          <t>vertical</t>
        </is>
      </c>
      <c r="H17" s="41" t="inlineStr">
        <is>
          <t>0 g</t>
        </is>
      </c>
      <c r="I17" s="42" t="n"/>
    </row>
    <row r="18" ht="15" customHeight="1" s="32">
      <c r="A18" s="41" t="inlineStr">
        <is>
          <t>T8</t>
        </is>
      </c>
      <c r="B18" s="41" t="n"/>
      <c r="C18" s="42" t="n">
        <v>350</v>
      </c>
      <c r="D18" s="42" t="n">
        <v>50</v>
      </c>
      <c r="E18" s="49">
        <f>C18*COS(RADIANS(D18))</f>
        <v/>
      </c>
      <c r="F18" s="49">
        <f>-C18*SIN(RADIANS(D18))</f>
        <v/>
      </c>
      <c r="G18" s="41" t="inlineStr">
        <is>
          <t>vertical</t>
        </is>
      </c>
      <c r="H18" s="41" t="inlineStr">
        <is>
          <t>0 g</t>
        </is>
      </c>
      <c r="I18" s="42" t="n"/>
    </row>
    <row r="19" ht="15" customHeight="1" s="32">
      <c r="A19" s="41" t="inlineStr">
        <is>
          <t>T9</t>
        </is>
      </c>
      <c r="B19" s="41" t="n"/>
      <c r="C19" s="42" t="n">
        <v>300</v>
      </c>
      <c r="D19" s="42" t="n">
        <v>45</v>
      </c>
      <c r="E19" s="49">
        <f>C19*COS(RADIANS(D19))</f>
        <v/>
      </c>
      <c r="F19" s="49">
        <f>-C19*SIN(RADIANS(D19))</f>
        <v/>
      </c>
      <c r="G19" s="41" t="inlineStr">
        <is>
          <t>vertical</t>
        </is>
      </c>
      <c r="H19" s="41" t="inlineStr">
        <is>
          <t>0 g</t>
        </is>
      </c>
      <c r="I19" s="42" t="inlineStr">
        <is>
          <t>R on the mat (repeatability target)</t>
        </is>
      </c>
    </row>
    <row r="20" ht="15" customHeight="1" s="32">
      <c r="A20" s="41" t="inlineStr">
        <is>
          <t>T10</t>
        </is>
      </c>
      <c r="B20" s="41" t="n"/>
      <c r="C20" s="42" t="n">
        <v>300</v>
      </c>
      <c r="D20" s="42" t="n">
        <v>45</v>
      </c>
      <c r="E20" s="49">
        <f>C20*COS(RADIANS(D20))</f>
        <v/>
      </c>
      <c r="F20" s="49">
        <f>-C20*SIN(RADIANS(D20))</f>
        <v/>
      </c>
      <c r="G20" s="41" t="inlineStr">
        <is>
          <t>vertical</t>
        </is>
      </c>
      <c r="H20" s="41" t="inlineStr">
        <is>
          <t>500 g</t>
        </is>
      </c>
      <c r="I20" s="42" t="inlineStr">
        <is>
          <t>T9 position with 500 g in the gripper</t>
        </is>
      </c>
    </row>
    <row r="21" ht="15" customHeight="1" s="32">
      <c r="A21" s="41" t="inlineStr">
        <is>
          <t>T11</t>
        </is>
      </c>
      <c r="B21" s="41" t="n"/>
      <c r="C21" s="42" t="n">
        <v>350</v>
      </c>
      <c r="D21" s="42" t="n">
        <v>35</v>
      </c>
      <c r="E21" s="49">
        <f>C21*COS(RADIANS(D21))</f>
        <v/>
      </c>
      <c r="F21" s="49">
        <f>-C21*SIN(RADIANS(D21))</f>
        <v/>
      </c>
      <c r="G21" s="41" t="inlineStr">
        <is>
          <t>vertical</t>
        </is>
      </c>
      <c r="H21" s="41" t="inlineStr">
        <is>
          <t>500 g</t>
        </is>
      </c>
      <c r="I21" s="42" t="inlineStr">
        <is>
          <t>T7 position (far) with 500 g: worst-case sag</t>
        </is>
      </c>
    </row>
    <row r="22" ht="15" customHeight="1" s="32">
      <c r="A22" s="34" t="inlineStr">
        <is>
          <t>Targets match WDD2_target_mat_A4x4.pdf. Robot frame: x forward from the base axis, y to the LEFT; base angle + = to the RIGHT (seen from behind the arm), so y = −r·sin(angle). All targets are outside ±30° on the base (horn-play hunting zone).</t>
        </is>
      </c>
    </row>
    <row r="24" ht="15" customHeight="1" s="32">
      <c r="A24" s="38" t="inlineStr">
        <is>
          <t>Approaches</t>
        </is>
      </c>
    </row>
    <row r="25" ht="30" customHeight="1" s="32">
      <c r="A25" s="35" t="inlineStr">
        <is>
          <t>Target</t>
        </is>
      </c>
      <c r="B25" s="35" t="inlineStr">
        <is>
          <t>Trial</t>
        </is>
      </c>
      <c r="C25" s="35" t="inlineStr">
        <is>
          <t>Radial (mm, + = beyond target)</t>
        </is>
      </c>
      <c r="D25" s="35" t="inlineStr">
        <is>
          <t>Lateral (mm, + = right of ray)</t>
        </is>
      </c>
      <c r="E25" s="35" t="inlineStr">
        <is>
          <t>Centroid radial</t>
        </is>
      </c>
      <c r="F25" s="35" t="inlineStr">
        <is>
          <t>Centroid lateral</t>
        </is>
      </c>
      <c r="G25" s="35" t="inlineStr">
        <is>
          <t>l = dist. to centroid</t>
        </is>
      </c>
      <c r="H25" s="35" t="inlineStr">
        <is>
          <t>(l − mean l)²</t>
        </is>
      </c>
      <c r="I25" s="35" t="inlineStr">
        <is>
          <t>Note</t>
        </is>
      </c>
    </row>
    <row r="26" ht="15" customHeight="1" s="32">
      <c r="A26" s="41" t="inlineStr">
        <is>
          <t>T1</t>
        </is>
      </c>
      <c r="B26" s="41" t="n">
        <v>1</v>
      </c>
      <c r="C26" s="48" t="n">
        <v>-2</v>
      </c>
      <c r="D26" s="48" t="n">
        <v>6</v>
      </c>
      <c r="E26" s="50">
        <f>IF(ISNUMBER(C26),AVERAGEIFS($C$26:$C$155,$A$26:$A$155,A26),"")</f>
        <v/>
      </c>
      <c r="F26" s="50">
        <f>IF(ISNUMBER(D26),AVERAGEIFS($D$26:$D$155,$A$26:$A$155,A26),"")</f>
        <v/>
      </c>
      <c r="G26" s="50">
        <f>IF(AND(ISNUMBER(C26),ISNUMBER(D26)),SQRT((C26-E26)^2+(D26-F26)^2),"")</f>
        <v/>
      </c>
      <c r="H26" s="50">
        <f>IF(ISNUMBER(G26),(G26-AVERAGEIFS($G$26:$G$155,$A$26:$A$155,A26))^2,"")</f>
        <v/>
      </c>
      <c r="I26" s="48" t="n"/>
    </row>
    <row r="27" ht="15" customHeight="1" s="32">
      <c r="A27" s="41" t="inlineStr">
        <is>
          <t>T1</t>
        </is>
      </c>
      <c r="B27" s="41" t="n">
        <v>2</v>
      </c>
      <c r="C27" s="48" t="n">
        <v>-1</v>
      </c>
      <c r="D27" s="48" t="n">
        <v>2</v>
      </c>
      <c r="E27" s="50">
        <f>IF(ISNUMBER(C27),AVERAGEIFS($C$26:$C$155,$A$26:$A$155,A27),"")</f>
        <v/>
      </c>
      <c r="F27" s="50">
        <f>IF(ISNUMBER(D27),AVERAGEIFS($D$26:$D$155,$A$26:$A$155,A27),"")</f>
        <v/>
      </c>
      <c r="G27" s="50">
        <f>IF(AND(ISNUMBER(C27),ISNUMBER(D27)),SQRT((C27-E27)^2+(D27-F27)^2),"")</f>
        <v/>
      </c>
      <c r="H27" s="50">
        <f>IF(ISNUMBER(G27),(G27-AVERAGEIFS($G$26:$G$155,$A$26:$A$155,A27))^2,"")</f>
        <v/>
      </c>
      <c r="I27" s="48" t="n"/>
    </row>
    <row r="28" ht="15" customHeight="1" s="32">
      <c r="A28" s="41" t="inlineStr">
        <is>
          <t>T1</t>
        </is>
      </c>
      <c r="B28" s="41" t="n">
        <v>3</v>
      </c>
      <c r="C28" s="48" t="n">
        <v>-1</v>
      </c>
      <c r="D28" s="48" t="n">
        <v>4</v>
      </c>
      <c r="E28" s="50">
        <f>IF(ISNUMBER(C28),AVERAGEIFS($C$26:$C$155,$A$26:$A$155,A28),"")</f>
        <v/>
      </c>
      <c r="F28" s="50">
        <f>IF(ISNUMBER(D28),AVERAGEIFS($D$26:$D$155,$A$26:$A$155,A28),"")</f>
        <v/>
      </c>
      <c r="G28" s="50">
        <f>IF(AND(ISNUMBER(C28),ISNUMBER(D28)),SQRT((C28-E28)^2+(D28-F28)^2),"")</f>
        <v/>
      </c>
      <c r="H28" s="50">
        <f>IF(ISNUMBER(G28),(G28-AVERAGEIFS($G$26:$G$155,$A$26:$A$155,A28))^2,"")</f>
        <v/>
      </c>
      <c r="I28" s="48" t="n"/>
    </row>
    <row r="29" ht="15" customHeight="1" s="32">
      <c r="A29" s="41" t="inlineStr">
        <is>
          <t>T1</t>
        </is>
      </c>
      <c r="B29" s="41" t="n">
        <v>4</v>
      </c>
      <c r="C29" s="48" t="n">
        <v>-4</v>
      </c>
      <c r="D29" s="48" t="n">
        <v>2</v>
      </c>
      <c r="E29" s="50">
        <f>IF(ISNUMBER(C29),AVERAGEIFS($C$26:$C$155,$A$26:$A$155,A29),"")</f>
        <v/>
      </c>
      <c r="F29" s="50">
        <f>IF(ISNUMBER(D29),AVERAGEIFS($D$26:$D$155,$A$26:$A$155,A29),"")</f>
        <v/>
      </c>
      <c r="G29" s="50">
        <f>IF(AND(ISNUMBER(C29),ISNUMBER(D29)),SQRT((C29-E29)^2+(D29-F29)^2),"")</f>
        <v/>
      </c>
      <c r="H29" s="50">
        <f>IF(ISNUMBER(G29),(G29-AVERAGEIFS($G$26:$G$155,$A$26:$A$155,A29))^2,"")</f>
        <v/>
      </c>
      <c r="I29" s="48" t="n"/>
    </row>
    <row r="30" ht="15" customHeight="1" s="32">
      <c r="A30" s="41" t="inlineStr">
        <is>
          <t>T1</t>
        </is>
      </c>
      <c r="B30" s="41" t="n">
        <v>5</v>
      </c>
      <c r="C30" s="48" t="n">
        <v>-5</v>
      </c>
      <c r="D30" s="48" t="n">
        <v>2</v>
      </c>
      <c r="E30" s="50">
        <f>IF(ISNUMBER(C30),AVERAGEIFS($C$26:$C$155,$A$26:$A$155,A30),"")</f>
        <v/>
      </c>
      <c r="F30" s="50">
        <f>IF(ISNUMBER(D30),AVERAGEIFS($D$26:$D$155,$A$26:$A$155,A30),"")</f>
        <v/>
      </c>
      <c r="G30" s="50">
        <f>IF(AND(ISNUMBER(C30),ISNUMBER(D30)),SQRT((C30-E30)^2+(D30-F30)^2),"")</f>
        <v/>
      </c>
      <c r="H30" s="50">
        <f>IF(ISNUMBER(G30),(G30-AVERAGEIFS($G$26:$G$155,$A$26:$A$155,A30))^2,"")</f>
        <v/>
      </c>
      <c r="I30" s="48" t="n"/>
    </row>
    <row r="31" ht="15" customHeight="1" s="32">
      <c r="A31" s="41" t="inlineStr">
        <is>
          <t>T1</t>
        </is>
      </c>
      <c r="B31" s="41" t="n">
        <v>6</v>
      </c>
      <c r="C31" s="48" t="n">
        <v>-5</v>
      </c>
      <c r="D31" s="48" t="n">
        <v>3</v>
      </c>
      <c r="E31" s="50">
        <f>IF(ISNUMBER(C31),AVERAGEIFS($C$26:$C$155,$A$26:$A$155,A31),"")</f>
        <v/>
      </c>
      <c r="F31" s="50">
        <f>IF(ISNUMBER(D31),AVERAGEIFS($D$26:$D$155,$A$26:$A$155,A31),"")</f>
        <v/>
      </c>
      <c r="G31" s="50">
        <f>IF(AND(ISNUMBER(C31),ISNUMBER(D31)),SQRT((C31-E31)^2+(D31-F31)^2),"")</f>
        <v/>
      </c>
      <c r="H31" s="50">
        <f>IF(ISNUMBER(G31),(G31-AVERAGEIFS($G$26:$G$155,$A$26:$A$155,A31))^2,"")</f>
        <v/>
      </c>
      <c r="I31" s="48" t="n"/>
    </row>
    <row r="32" ht="15" customHeight="1" s="32">
      <c r="A32" s="41" t="inlineStr">
        <is>
          <t>T1</t>
        </is>
      </c>
      <c r="B32" s="41" t="n">
        <v>7</v>
      </c>
      <c r="C32" s="48" t="n">
        <v>-6</v>
      </c>
      <c r="D32" s="48" t="n">
        <v>2</v>
      </c>
      <c r="E32" s="50">
        <f>IF(ISNUMBER(C32),AVERAGEIFS($C$26:$C$155,$A$26:$A$155,A32),"")</f>
        <v/>
      </c>
      <c r="F32" s="50">
        <f>IF(ISNUMBER(D32),AVERAGEIFS($D$26:$D$155,$A$26:$A$155,A32),"")</f>
        <v/>
      </c>
      <c r="G32" s="50">
        <f>IF(AND(ISNUMBER(C32),ISNUMBER(D32)),SQRT((C32-E32)^2+(D32-F32)^2),"")</f>
        <v/>
      </c>
      <c r="H32" s="50">
        <f>IF(ISNUMBER(G32),(G32-AVERAGEIFS($G$26:$G$155,$A$26:$A$155,A32))^2,"")</f>
        <v/>
      </c>
      <c r="I32" s="48" t="n"/>
    </row>
    <row r="33" ht="15" customHeight="1" s="32">
      <c r="A33" s="41" t="inlineStr">
        <is>
          <t>T1</t>
        </is>
      </c>
      <c r="B33" s="41" t="n">
        <v>8</v>
      </c>
      <c r="C33" s="48" t="n">
        <v>-4</v>
      </c>
      <c r="D33" s="48" t="n">
        <v>1</v>
      </c>
      <c r="E33" s="50">
        <f>IF(ISNUMBER(C33),AVERAGEIFS($C$26:$C$155,$A$26:$A$155,A33),"")</f>
        <v/>
      </c>
      <c r="F33" s="50">
        <f>IF(ISNUMBER(D33),AVERAGEIFS($D$26:$D$155,$A$26:$A$155,A33),"")</f>
        <v/>
      </c>
      <c r="G33" s="50">
        <f>IF(AND(ISNUMBER(C33),ISNUMBER(D33)),SQRT((C33-E33)^2+(D33-F33)^2),"")</f>
        <v/>
      </c>
      <c r="H33" s="50">
        <f>IF(ISNUMBER(G33),(G33-AVERAGEIFS($G$26:$G$155,$A$26:$A$155,A33))^2,"")</f>
        <v/>
      </c>
      <c r="I33" s="48" t="n"/>
    </row>
    <row r="34" ht="15" customHeight="1" s="32">
      <c r="A34" s="41" t="inlineStr">
        <is>
          <t>T1</t>
        </is>
      </c>
      <c r="B34" s="41" t="n">
        <v>9</v>
      </c>
      <c r="C34" s="48" t="n">
        <v>-2</v>
      </c>
      <c r="D34" s="48" t="n">
        <v>0</v>
      </c>
      <c r="E34" s="50">
        <f>IF(ISNUMBER(C34),AVERAGEIFS($C$26:$C$155,$A$26:$A$155,A34),"")</f>
        <v/>
      </c>
      <c r="F34" s="50">
        <f>IF(ISNUMBER(D34),AVERAGEIFS($D$26:$D$155,$A$26:$A$155,A34),"")</f>
        <v/>
      </c>
      <c r="G34" s="50">
        <f>IF(AND(ISNUMBER(C34),ISNUMBER(D34)),SQRT((C34-E34)^2+(D34-F34)^2),"")</f>
        <v/>
      </c>
      <c r="H34" s="50">
        <f>IF(ISNUMBER(G34),(G34-AVERAGEIFS($G$26:$G$155,$A$26:$A$155,A34))^2,"")</f>
        <v/>
      </c>
      <c r="I34" s="48" t="n"/>
    </row>
    <row r="35" ht="15" customHeight="1" s="32">
      <c r="A35" s="41" t="inlineStr">
        <is>
          <t>T1</t>
        </is>
      </c>
      <c r="B35" s="41" t="n">
        <v>10</v>
      </c>
      <c r="C35" s="48" t="n">
        <v>0</v>
      </c>
      <c r="D35" s="48" t="n">
        <v>2</v>
      </c>
      <c r="E35" s="50">
        <f>IF(ISNUMBER(C35),AVERAGEIFS($C$26:$C$155,$A$26:$A$155,A35),"")</f>
        <v/>
      </c>
      <c r="F35" s="50">
        <f>IF(ISNUMBER(D35),AVERAGEIFS($D$26:$D$155,$A$26:$A$155,A35),"")</f>
        <v/>
      </c>
      <c r="G35" s="50">
        <f>IF(AND(ISNUMBER(C35),ISNUMBER(D35)),SQRT((C35-E35)^2+(D35-F35)^2),"")</f>
        <v/>
      </c>
      <c r="H35" s="50">
        <f>IF(ISNUMBER(G35),(G35-AVERAGEIFS($G$26:$G$155,$A$26:$A$155,A35))^2,"")</f>
        <v/>
      </c>
      <c r="I35" s="48" t="n"/>
    </row>
    <row r="36" ht="15" customHeight="1" s="32">
      <c r="A36" s="41" t="inlineStr">
        <is>
          <t>T2</t>
        </is>
      </c>
      <c r="B36" s="41" t="n">
        <v>1</v>
      </c>
      <c r="C36" s="48" t="n">
        <v>0</v>
      </c>
      <c r="D36" s="48" t="n">
        <v>0</v>
      </c>
      <c r="E36" s="50">
        <f>IF(ISNUMBER(C36),AVERAGEIFS($C$26:$C$155,$A$26:$A$155,A36),"")</f>
        <v/>
      </c>
      <c r="F36" s="50">
        <f>IF(ISNUMBER(D36),AVERAGEIFS($D$26:$D$155,$A$26:$A$155,A36),"")</f>
        <v/>
      </c>
      <c r="G36" s="50">
        <f>IF(AND(ISNUMBER(C36),ISNUMBER(D36)),SQRT((C36-E36)^2+(D36-F36)^2),"")</f>
        <v/>
      </c>
      <c r="H36" s="50">
        <f>IF(ISNUMBER(G36),(G36-AVERAGEIFS($G$26:$G$155,$A$26:$A$155,A36))^2,"")</f>
        <v/>
      </c>
      <c r="I36" s="48" t="n"/>
    </row>
    <row r="37" ht="15" customHeight="1" s="32">
      <c r="A37" s="41" t="inlineStr">
        <is>
          <t>T2</t>
        </is>
      </c>
      <c r="B37" s="41" t="n">
        <v>2</v>
      </c>
      <c r="C37" s="48" t="n">
        <v>-2</v>
      </c>
      <c r="D37" s="48" t="n">
        <v>-1</v>
      </c>
      <c r="E37" s="50">
        <f>IF(ISNUMBER(C37),AVERAGEIFS($C$26:$C$155,$A$26:$A$155,A37),"")</f>
        <v/>
      </c>
      <c r="F37" s="50">
        <f>IF(ISNUMBER(D37),AVERAGEIFS($D$26:$D$155,$A$26:$A$155,A37),"")</f>
        <v/>
      </c>
      <c r="G37" s="50">
        <f>IF(AND(ISNUMBER(C37),ISNUMBER(D37)),SQRT((C37-E37)^2+(D37-F37)^2),"")</f>
        <v/>
      </c>
      <c r="H37" s="50">
        <f>IF(ISNUMBER(G37),(G37-AVERAGEIFS($G$26:$G$155,$A$26:$A$155,A37))^2,"")</f>
        <v/>
      </c>
      <c r="I37" s="48" t="n"/>
    </row>
    <row r="38" ht="15" customHeight="1" s="32">
      <c r="A38" s="41" t="inlineStr">
        <is>
          <t>T2</t>
        </is>
      </c>
      <c r="B38" s="41" t="n">
        <v>3</v>
      </c>
      <c r="C38" s="48" t="n">
        <v>-3</v>
      </c>
      <c r="D38" s="48" t="n">
        <v>-3</v>
      </c>
      <c r="E38" s="50">
        <f>IF(ISNUMBER(C38),AVERAGEIFS($C$26:$C$155,$A$26:$A$155,A38),"")</f>
        <v/>
      </c>
      <c r="F38" s="50">
        <f>IF(ISNUMBER(D38),AVERAGEIFS($D$26:$D$155,$A$26:$A$155,A38),"")</f>
        <v/>
      </c>
      <c r="G38" s="50">
        <f>IF(AND(ISNUMBER(C38),ISNUMBER(D38)),SQRT((C38-E38)^2+(D38-F38)^2),"")</f>
        <v/>
      </c>
      <c r="H38" s="50">
        <f>IF(ISNUMBER(G38),(G38-AVERAGEIFS($G$26:$G$155,$A$26:$A$155,A38))^2,"")</f>
        <v/>
      </c>
      <c r="I38" s="48" t="n"/>
    </row>
    <row r="39" ht="15" customHeight="1" s="32">
      <c r="A39" s="41" t="inlineStr">
        <is>
          <t>T2</t>
        </is>
      </c>
      <c r="B39" s="41" t="n">
        <v>4</v>
      </c>
      <c r="C39" s="48" t="n">
        <v>-5</v>
      </c>
      <c r="D39" s="48" t="n">
        <v>-2</v>
      </c>
      <c r="E39" s="50">
        <f>IF(ISNUMBER(C39),AVERAGEIFS($C$26:$C$155,$A$26:$A$155,A39),"")</f>
        <v/>
      </c>
      <c r="F39" s="50">
        <f>IF(ISNUMBER(D39),AVERAGEIFS($D$26:$D$155,$A$26:$A$155,A39),"")</f>
        <v/>
      </c>
      <c r="G39" s="50">
        <f>IF(AND(ISNUMBER(C39),ISNUMBER(D39)),SQRT((C39-E39)^2+(D39-F39)^2),"")</f>
        <v/>
      </c>
      <c r="H39" s="50">
        <f>IF(ISNUMBER(G39),(G39-AVERAGEIFS($G$26:$G$155,$A$26:$A$155,A39))^2,"")</f>
        <v/>
      </c>
      <c r="I39" s="48" t="n"/>
    </row>
    <row r="40" ht="15" customHeight="1" s="32">
      <c r="A40" s="41" t="inlineStr">
        <is>
          <t>T2</t>
        </is>
      </c>
      <c r="B40" s="41" t="n">
        <v>5</v>
      </c>
      <c r="C40" s="48" t="n">
        <v>-3</v>
      </c>
      <c r="D40" s="48" t="n">
        <v>0</v>
      </c>
      <c r="E40" s="50">
        <f>IF(ISNUMBER(C40),AVERAGEIFS($C$26:$C$155,$A$26:$A$155,A40),"")</f>
        <v/>
      </c>
      <c r="F40" s="50">
        <f>IF(ISNUMBER(D40),AVERAGEIFS($D$26:$D$155,$A$26:$A$155,A40),"")</f>
        <v/>
      </c>
      <c r="G40" s="50">
        <f>IF(AND(ISNUMBER(C40),ISNUMBER(D40)),SQRT((C40-E40)^2+(D40-F40)^2),"")</f>
        <v/>
      </c>
      <c r="H40" s="50">
        <f>IF(ISNUMBER(G40),(G40-AVERAGEIFS($G$26:$G$155,$A$26:$A$155,A40))^2,"")</f>
        <v/>
      </c>
      <c r="I40" s="48" t="n"/>
    </row>
    <row r="41" ht="15" customHeight="1" s="32">
      <c r="A41" s="41" t="inlineStr">
        <is>
          <t>T2</t>
        </is>
      </c>
      <c r="B41" s="41" t="n">
        <v>6</v>
      </c>
      <c r="C41" s="48" t="n">
        <v>-6</v>
      </c>
      <c r="D41" s="48" t="n">
        <v>0</v>
      </c>
      <c r="E41" s="50">
        <f>IF(ISNUMBER(C41),AVERAGEIFS($C$26:$C$155,$A$26:$A$155,A41),"")</f>
        <v/>
      </c>
      <c r="F41" s="50">
        <f>IF(ISNUMBER(D41),AVERAGEIFS($D$26:$D$155,$A$26:$A$155,A41),"")</f>
        <v/>
      </c>
      <c r="G41" s="50">
        <f>IF(AND(ISNUMBER(C41),ISNUMBER(D41)),SQRT((C41-E41)^2+(D41-F41)^2),"")</f>
        <v/>
      </c>
      <c r="H41" s="50">
        <f>IF(ISNUMBER(G41),(G41-AVERAGEIFS($G$26:$G$155,$A$26:$A$155,A41))^2,"")</f>
        <v/>
      </c>
      <c r="I41" s="48" t="n"/>
    </row>
    <row r="42" ht="15" customHeight="1" s="32">
      <c r="A42" s="41" t="inlineStr">
        <is>
          <t>T2</t>
        </is>
      </c>
      <c r="B42" s="41" t="n">
        <v>7</v>
      </c>
      <c r="C42" s="48" t="n">
        <v>-1</v>
      </c>
      <c r="D42" s="48" t="n">
        <v>2</v>
      </c>
      <c r="E42" s="50">
        <f>IF(ISNUMBER(C42),AVERAGEIFS($C$26:$C$155,$A$26:$A$155,A42),"")</f>
        <v/>
      </c>
      <c r="F42" s="50">
        <f>IF(ISNUMBER(D42),AVERAGEIFS($D$26:$D$155,$A$26:$A$155,A42),"")</f>
        <v/>
      </c>
      <c r="G42" s="50">
        <f>IF(AND(ISNUMBER(C42),ISNUMBER(D42)),SQRT((C42-E42)^2+(D42-F42)^2),"")</f>
        <v/>
      </c>
      <c r="H42" s="50">
        <f>IF(ISNUMBER(G42),(G42-AVERAGEIFS($G$26:$G$155,$A$26:$A$155,A42))^2,"")</f>
        <v/>
      </c>
      <c r="I42" s="48" t="n"/>
    </row>
    <row r="43" ht="15" customHeight="1" s="32">
      <c r="A43" s="41" t="inlineStr">
        <is>
          <t>T2</t>
        </is>
      </c>
      <c r="B43" s="41" t="n">
        <v>8</v>
      </c>
      <c r="C43" s="48" t="n">
        <v>-4</v>
      </c>
      <c r="D43" s="48" t="n">
        <v>4</v>
      </c>
      <c r="E43" s="50">
        <f>IF(ISNUMBER(C43),AVERAGEIFS($C$26:$C$155,$A$26:$A$155,A43),"")</f>
        <v/>
      </c>
      <c r="F43" s="50">
        <f>IF(ISNUMBER(D43),AVERAGEIFS($D$26:$D$155,$A$26:$A$155,A43),"")</f>
        <v/>
      </c>
      <c r="G43" s="50">
        <f>IF(AND(ISNUMBER(C43),ISNUMBER(D43)),SQRT((C43-E43)^2+(D43-F43)^2),"")</f>
        <v/>
      </c>
      <c r="H43" s="50">
        <f>IF(ISNUMBER(G43),(G43-AVERAGEIFS($G$26:$G$155,$A$26:$A$155,A43))^2,"")</f>
        <v/>
      </c>
      <c r="I43" s="48" t="n"/>
    </row>
    <row r="44" ht="15" customHeight="1" s="32">
      <c r="A44" s="41" t="inlineStr">
        <is>
          <t>T2</t>
        </is>
      </c>
      <c r="B44" s="41" t="n">
        <v>9</v>
      </c>
      <c r="C44" s="48" t="n">
        <v>-4</v>
      </c>
      <c r="D44" s="48" t="n">
        <v>2</v>
      </c>
      <c r="E44" s="50">
        <f>IF(ISNUMBER(C44),AVERAGEIFS($C$26:$C$155,$A$26:$A$155,A44),"")</f>
        <v/>
      </c>
      <c r="F44" s="50">
        <f>IF(ISNUMBER(D44),AVERAGEIFS($D$26:$D$155,$A$26:$A$155,A44),"")</f>
        <v/>
      </c>
      <c r="G44" s="50">
        <f>IF(AND(ISNUMBER(C44),ISNUMBER(D44)),SQRT((C44-E44)^2+(D44-F44)^2),"")</f>
        <v/>
      </c>
      <c r="H44" s="50">
        <f>IF(ISNUMBER(G44),(G44-AVERAGEIFS($G$26:$G$155,$A$26:$A$155,A44))^2,"")</f>
        <v/>
      </c>
      <c r="I44" s="48" t="n"/>
    </row>
    <row r="45" ht="15" customHeight="1" s="32">
      <c r="A45" s="41" t="inlineStr">
        <is>
          <t>T2</t>
        </is>
      </c>
      <c r="B45" s="41" t="n">
        <v>10</v>
      </c>
      <c r="C45" s="48" t="n">
        <v>-3</v>
      </c>
      <c r="D45" s="48" t="n">
        <v>3</v>
      </c>
      <c r="E45" s="50">
        <f>IF(ISNUMBER(C45),AVERAGEIFS($C$26:$C$155,$A$26:$A$155,A45),"")</f>
        <v/>
      </c>
      <c r="F45" s="50">
        <f>IF(ISNUMBER(D45),AVERAGEIFS($D$26:$D$155,$A$26:$A$155,A45),"")</f>
        <v/>
      </c>
      <c r="G45" s="50">
        <f>IF(AND(ISNUMBER(C45),ISNUMBER(D45)),SQRT((C45-E45)^2+(D45-F45)^2),"")</f>
        <v/>
      </c>
      <c r="H45" s="50">
        <f>IF(ISNUMBER(G45),(G45-AVERAGEIFS($G$26:$G$155,$A$26:$A$155,A45))^2,"")</f>
        <v/>
      </c>
      <c r="I45" s="48" t="n"/>
    </row>
    <row r="46" ht="15" customHeight="1" s="32">
      <c r="A46" s="41" t="inlineStr">
        <is>
          <t>T3</t>
        </is>
      </c>
      <c r="B46" s="41" t="n">
        <v>1</v>
      </c>
      <c r="C46" s="48" t="n">
        <v>-1</v>
      </c>
      <c r="D46" s="48" t="n">
        <v>0</v>
      </c>
      <c r="E46" s="50">
        <f>IF(ISNUMBER(C46),AVERAGEIFS($C$26:$C$155,$A$26:$A$155,A46),"")</f>
        <v/>
      </c>
      <c r="F46" s="50">
        <f>IF(ISNUMBER(D46),AVERAGEIFS($D$26:$D$155,$A$26:$A$155,A46),"")</f>
        <v/>
      </c>
      <c r="G46" s="50">
        <f>IF(AND(ISNUMBER(C46),ISNUMBER(D46)),SQRT((C46-E46)^2+(D46-F46)^2),"")</f>
        <v/>
      </c>
      <c r="H46" s="50">
        <f>IF(ISNUMBER(G46),(G46-AVERAGEIFS($G$26:$G$155,$A$26:$A$155,A46))^2,"")</f>
        <v/>
      </c>
      <c r="I46" s="48" t="n"/>
    </row>
    <row r="47" ht="15" customHeight="1" s="32">
      <c r="A47" s="41" t="inlineStr">
        <is>
          <t>T3</t>
        </is>
      </c>
      <c r="B47" s="41" t="n">
        <v>2</v>
      </c>
      <c r="C47" s="48" t="n">
        <v>-1</v>
      </c>
      <c r="D47" s="48" t="n">
        <v>-2</v>
      </c>
      <c r="E47" s="50">
        <f>IF(ISNUMBER(C47),AVERAGEIFS($C$26:$C$155,$A$26:$A$155,A47),"")</f>
        <v/>
      </c>
      <c r="F47" s="50">
        <f>IF(ISNUMBER(D47),AVERAGEIFS($D$26:$D$155,$A$26:$A$155,A47),"")</f>
        <v/>
      </c>
      <c r="G47" s="50">
        <f>IF(AND(ISNUMBER(C47),ISNUMBER(D47)),SQRT((C47-E47)^2+(D47-F47)^2),"")</f>
        <v/>
      </c>
      <c r="H47" s="50">
        <f>IF(ISNUMBER(G47),(G47-AVERAGEIFS($G$26:$G$155,$A$26:$A$155,A47))^2,"")</f>
        <v/>
      </c>
      <c r="I47" s="48" t="n"/>
    </row>
    <row r="48" ht="15" customHeight="1" s="32">
      <c r="A48" s="41" t="inlineStr">
        <is>
          <t>T3</t>
        </is>
      </c>
      <c r="B48" s="41" t="n">
        <v>3</v>
      </c>
      <c r="C48" s="48" t="n">
        <v>-4</v>
      </c>
      <c r="D48" s="48" t="n">
        <v>0</v>
      </c>
      <c r="E48" s="50">
        <f>IF(ISNUMBER(C48),AVERAGEIFS($C$26:$C$155,$A$26:$A$155,A48),"")</f>
        <v/>
      </c>
      <c r="F48" s="50">
        <f>IF(ISNUMBER(D48),AVERAGEIFS($D$26:$D$155,$A$26:$A$155,A48),"")</f>
        <v/>
      </c>
      <c r="G48" s="50">
        <f>IF(AND(ISNUMBER(C48),ISNUMBER(D48)),SQRT((C48-E48)^2+(D48-F48)^2),"")</f>
        <v/>
      </c>
      <c r="H48" s="50">
        <f>IF(ISNUMBER(G48),(G48-AVERAGEIFS($G$26:$G$155,$A$26:$A$155,A48))^2,"")</f>
        <v/>
      </c>
      <c r="I48" s="48" t="n"/>
    </row>
    <row r="49" ht="15" customHeight="1" s="32">
      <c r="A49" s="41" t="inlineStr">
        <is>
          <t>T3</t>
        </is>
      </c>
      <c r="B49" s="41" t="n">
        <v>4</v>
      </c>
      <c r="C49" s="48" t="n">
        <v>-6</v>
      </c>
      <c r="D49" s="48" t="n">
        <v>0</v>
      </c>
      <c r="E49" s="50">
        <f>IF(ISNUMBER(C49),AVERAGEIFS($C$26:$C$155,$A$26:$A$155,A49),"")</f>
        <v/>
      </c>
      <c r="F49" s="50">
        <f>IF(ISNUMBER(D49),AVERAGEIFS($D$26:$D$155,$A$26:$A$155,A49),"")</f>
        <v/>
      </c>
      <c r="G49" s="50">
        <f>IF(AND(ISNUMBER(C49),ISNUMBER(D49)),SQRT((C49-E49)^2+(D49-F49)^2),"")</f>
        <v/>
      </c>
      <c r="H49" s="50">
        <f>IF(ISNUMBER(G49),(G49-AVERAGEIFS($G$26:$G$155,$A$26:$A$155,A49))^2,"")</f>
        <v/>
      </c>
      <c r="I49" s="48" t="n"/>
    </row>
    <row r="50" ht="15" customHeight="1" s="32">
      <c r="A50" s="41" t="inlineStr">
        <is>
          <t>T3</t>
        </is>
      </c>
      <c r="B50" s="41" t="n">
        <v>5</v>
      </c>
      <c r="C50" s="48" t="n">
        <v>-6</v>
      </c>
      <c r="D50" s="48" t="n">
        <v>-2</v>
      </c>
      <c r="E50" s="50">
        <f>IF(ISNUMBER(C50),AVERAGEIFS($C$26:$C$155,$A$26:$A$155,A50),"")</f>
        <v/>
      </c>
      <c r="F50" s="50">
        <f>IF(ISNUMBER(D50),AVERAGEIFS($D$26:$D$155,$A$26:$A$155,A50),"")</f>
        <v/>
      </c>
      <c r="G50" s="50">
        <f>IF(AND(ISNUMBER(C50),ISNUMBER(D50)),SQRT((C50-E50)^2+(D50-F50)^2),"")</f>
        <v/>
      </c>
      <c r="H50" s="50">
        <f>IF(ISNUMBER(G50),(G50-AVERAGEIFS($G$26:$G$155,$A$26:$A$155,A50))^2,"")</f>
        <v/>
      </c>
      <c r="I50" s="48" t="n"/>
    </row>
    <row r="51" ht="15" customHeight="1" s="32">
      <c r="A51" s="41" t="inlineStr">
        <is>
          <t>T3</t>
        </is>
      </c>
      <c r="B51" s="41" t="n">
        <v>6</v>
      </c>
      <c r="C51" s="48" t="n">
        <v>-3</v>
      </c>
      <c r="D51" s="48" t="n">
        <v>1</v>
      </c>
      <c r="E51" s="50">
        <f>IF(ISNUMBER(C51),AVERAGEIFS($C$26:$C$155,$A$26:$A$155,A51),"")</f>
        <v/>
      </c>
      <c r="F51" s="50">
        <f>IF(ISNUMBER(D51),AVERAGEIFS($D$26:$D$155,$A$26:$A$155,A51),"")</f>
        <v/>
      </c>
      <c r="G51" s="50">
        <f>IF(AND(ISNUMBER(C51),ISNUMBER(D51)),SQRT((C51-E51)^2+(D51-F51)^2),"")</f>
        <v/>
      </c>
      <c r="H51" s="50">
        <f>IF(ISNUMBER(G51),(G51-AVERAGEIFS($G$26:$G$155,$A$26:$A$155,A51))^2,"")</f>
        <v/>
      </c>
      <c r="I51" s="48" t="n"/>
    </row>
    <row r="52" ht="15" customHeight="1" s="32">
      <c r="A52" s="41" t="inlineStr">
        <is>
          <t>T3</t>
        </is>
      </c>
      <c r="B52" s="41" t="n">
        <v>7</v>
      </c>
      <c r="C52" s="48" t="n">
        <v>-5</v>
      </c>
      <c r="D52" s="48" t="n">
        <v>1</v>
      </c>
      <c r="E52" s="50">
        <f>IF(ISNUMBER(C52),AVERAGEIFS($C$26:$C$155,$A$26:$A$155,A52),"")</f>
        <v/>
      </c>
      <c r="F52" s="50">
        <f>IF(ISNUMBER(D52),AVERAGEIFS($D$26:$D$155,$A$26:$A$155,A52),"")</f>
        <v/>
      </c>
      <c r="G52" s="50">
        <f>IF(AND(ISNUMBER(C52),ISNUMBER(D52)),SQRT((C52-E52)^2+(D52-F52)^2),"")</f>
        <v/>
      </c>
      <c r="H52" s="50">
        <f>IF(ISNUMBER(G52),(G52-AVERAGEIFS($G$26:$G$155,$A$26:$A$155,A52))^2,"")</f>
        <v/>
      </c>
      <c r="I52" s="48" t="n"/>
    </row>
    <row r="53" ht="15" customHeight="1" s="32">
      <c r="A53" s="41" t="inlineStr">
        <is>
          <t>T3</t>
        </is>
      </c>
      <c r="B53" s="41" t="n">
        <v>8</v>
      </c>
      <c r="C53" s="48" t="n">
        <v>-8</v>
      </c>
      <c r="D53" s="48" t="n">
        <v>2</v>
      </c>
      <c r="E53" s="50">
        <f>IF(ISNUMBER(C53),AVERAGEIFS($C$26:$C$155,$A$26:$A$155,A53),"")</f>
        <v/>
      </c>
      <c r="F53" s="50">
        <f>IF(ISNUMBER(D53),AVERAGEIFS($D$26:$D$155,$A$26:$A$155,A53),"")</f>
        <v/>
      </c>
      <c r="G53" s="50">
        <f>IF(AND(ISNUMBER(C53),ISNUMBER(D53)),SQRT((C53-E53)^2+(D53-F53)^2),"")</f>
        <v/>
      </c>
      <c r="H53" s="50">
        <f>IF(ISNUMBER(G53),(G53-AVERAGEIFS($G$26:$G$155,$A$26:$A$155,A53))^2,"")</f>
        <v/>
      </c>
      <c r="I53" s="48" t="n"/>
    </row>
    <row r="54" ht="15" customHeight="1" s="32">
      <c r="A54" s="41" t="inlineStr">
        <is>
          <t>T3</t>
        </is>
      </c>
      <c r="B54" s="41" t="n">
        <v>9</v>
      </c>
      <c r="C54" s="48" t="n">
        <v>-4</v>
      </c>
      <c r="D54" s="48" t="n">
        <v>-2</v>
      </c>
      <c r="E54" s="50">
        <f>IF(ISNUMBER(C54),AVERAGEIFS($C$26:$C$155,$A$26:$A$155,A54),"")</f>
        <v/>
      </c>
      <c r="F54" s="50">
        <f>IF(ISNUMBER(D54),AVERAGEIFS($D$26:$D$155,$A$26:$A$155,A54),"")</f>
        <v/>
      </c>
      <c r="G54" s="50">
        <f>IF(AND(ISNUMBER(C54),ISNUMBER(D54)),SQRT((C54-E54)^2+(D54-F54)^2),"")</f>
        <v/>
      </c>
      <c r="H54" s="50">
        <f>IF(ISNUMBER(G54),(G54-AVERAGEIFS($G$26:$G$155,$A$26:$A$155,A54))^2,"")</f>
        <v/>
      </c>
      <c r="I54" s="48" t="n"/>
    </row>
    <row r="55" ht="15" customHeight="1" s="32">
      <c r="A55" s="41" t="inlineStr">
        <is>
          <t>T3</t>
        </is>
      </c>
      <c r="B55" s="41" t="n">
        <v>10</v>
      </c>
      <c r="C55" s="48" t="n">
        <v>-4</v>
      </c>
      <c r="D55" s="48" t="n">
        <v>3</v>
      </c>
      <c r="E55" s="50">
        <f>IF(ISNUMBER(C55),AVERAGEIFS($C$26:$C$155,$A$26:$A$155,A55),"")</f>
        <v/>
      </c>
      <c r="F55" s="50">
        <f>IF(ISNUMBER(D55),AVERAGEIFS($D$26:$D$155,$A$26:$A$155,A55),"")</f>
        <v/>
      </c>
      <c r="G55" s="50">
        <f>IF(AND(ISNUMBER(C55),ISNUMBER(D55)),SQRT((C55-E55)^2+(D55-F55)^2),"")</f>
        <v/>
      </c>
      <c r="H55" s="50">
        <f>IF(ISNUMBER(G55),(G55-AVERAGEIFS($G$26:$G$155,$A$26:$A$155,A55))^2,"")</f>
        <v/>
      </c>
      <c r="I55" s="48" t="n"/>
    </row>
    <row r="56" ht="15" customHeight="1" s="32">
      <c r="A56" s="41" t="inlineStr">
        <is>
          <t>T4</t>
        </is>
      </c>
      <c r="B56" s="41" t="n">
        <v>1</v>
      </c>
      <c r="C56" s="48" t="n">
        <v>-4</v>
      </c>
      <c r="D56" s="48" t="n">
        <v>-1</v>
      </c>
      <c r="E56" s="50">
        <f>IF(ISNUMBER(C56),AVERAGEIFS($C$26:$C$155,$A$26:$A$155,A56),"")</f>
        <v/>
      </c>
      <c r="F56" s="50">
        <f>IF(ISNUMBER(D56),AVERAGEIFS($D$26:$D$155,$A$26:$A$155,A56),"")</f>
        <v/>
      </c>
      <c r="G56" s="50">
        <f>IF(AND(ISNUMBER(C56),ISNUMBER(D56)),SQRT((C56-E56)^2+(D56-F56)^2),"")</f>
        <v/>
      </c>
      <c r="H56" s="50">
        <f>IF(ISNUMBER(G56),(G56-AVERAGEIFS($G$26:$G$155,$A$26:$A$155,A56))^2,"")</f>
        <v/>
      </c>
      <c r="I56" s="48" t="n"/>
    </row>
    <row r="57" ht="15" customHeight="1" s="32">
      <c r="A57" s="41" t="inlineStr">
        <is>
          <t>T4</t>
        </is>
      </c>
      <c r="B57" s="41" t="n">
        <v>2</v>
      </c>
      <c r="C57" s="48" t="n">
        <v>-4</v>
      </c>
      <c r="D57" s="48" t="n">
        <v>1</v>
      </c>
      <c r="E57" s="50">
        <f>IF(ISNUMBER(C57),AVERAGEIFS($C$26:$C$155,$A$26:$A$155,A57),"")</f>
        <v/>
      </c>
      <c r="F57" s="50">
        <f>IF(ISNUMBER(D57),AVERAGEIFS($D$26:$D$155,$A$26:$A$155,A57),"")</f>
        <v/>
      </c>
      <c r="G57" s="50">
        <f>IF(AND(ISNUMBER(C57),ISNUMBER(D57)),SQRT((C57-E57)^2+(D57-F57)^2),"")</f>
        <v/>
      </c>
      <c r="H57" s="50">
        <f>IF(ISNUMBER(G57),(G57-AVERAGEIFS($G$26:$G$155,$A$26:$A$155,A57))^2,"")</f>
        <v/>
      </c>
      <c r="I57" s="48" t="n"/>
    </row>
    <row r="58" ht="15" customHeight="1" s="32">
      <c r="A58" s="41" t="inlineStr">
        <is>
          <t>T4</t>
        </is>
      </c>
      <c r="B58" s="41" t="n">
        <v>3</v>
      </c>
      <c r="C58" s="48" t="n">
        <v>-4</v>
      </c>
      <c r="D58" s="48" t="n">
        <v>3</v>
      </c>
      <c r="E58" s="50">
        <f>IF(ISNUMBER(C58),AVERAGEIFS($C$26:$C$155,$A$26:$A$155,A58),"")</f>
        <v/>
      </c>
      <c r="F58" s="50">
        <f>IF(ISNUMBER(D58),AVERAGEIFS($D$26:$D$155,$A$26:$A$155,A58),"")</f>
        <v/>
      </c>
      <c r="G58" s="50">
        <f>IF(AND(ISNUMBER(C58),ISNUMBER(D58)),SQRT((C58-E58)^2+(D58-F58)^2),"")</f>
        <v/>
      </c>
      <c r="H58" s="50">
        <f>IF(ISNUMBER(G58),(G58-AVERAGEIFS($G$26:$G$155,$A$26:$A$155,A58))^2,"")</f>
        <v/>
      </c>
      <c r="I58" s="48" t="n"/>
    </row>
    <row r="59" ht="15" customHeight="1" s="32">
      <c r="A59" s="41" t="inlineStr">
        <is>
          <t>T4</t>
        </is>
      </c>
      <c r="B59" s="41" t="n">
        <v>4</v>
      </c>
      <c r="C59" s="48" t="n">
        <v>-6</v>
      </c>
      <c r="D59" s="48" t="n">
        <v>1</v>
      </c>
      <c r="E59" s="50">
        <f>IF(ISNUMBER(C59),AVERAGEIFS($C$26:$C$155,$A$26:$A$155,A59),"")</f>
        <v/>
      </c>
      <c r="F59" s="50">
        <f>IF(ISNUMBER(D59),AVERAGEIFS($D$26:$D$155,$A$26:$A$155,A59),"")</f>
        <v/>
      </c>
      <c r="G59" s="50">
        <f>IF(AND(ISNUMBER(C59),ISNUMBER(D59)),SQRT((C59-E59)^2+(D59-F59)^2),"")</f>
        <v/>
      </c>
      <c r="H59" s="50">
        <f>IF(ISNUMBER(G59),(G59-AVERAGEIFS($G$26:$G$155,$A$26:$A$155,A59))^2,"")</f>
        <v/>
      </c>
      <c r="I59" s="48" t="n"/>
    </row>
    <row r="60" ht="15" customHeight="1" s="32">
      <c r="A60" s="41" t="inlineStr">
        <is>
          <t>T4</t>
        </is>
      </c>
      <c r="B60" s="41" t="n">
        <v>5</v>
      </c>
      <c r="C60" s="48" t="n">
        <v>-5</v>
      </c>
      <c r="D60" s="48" t="n">
        <v>-1</v>
      </c>
      <c r="E60" s="50">
        <f>IF(ISNUMBER(C60),AVERAGEIFS($C$26:$C$155,$A$26:$A$155,A60),"")</f>
        <v/>
      </c>
      <c r="F60" s="50">
        <f>IF(ISNUMBER(D60),AVERAGEIFS($D$26:$D$155,$A$26:$A$155,A60),"")</f>
        <v/>
      </c>
      <c r="G60" s="50">
        <f>IF(AND(ISNUMBER(C60),ISNUMBER(D60)),SQRT((C60-E60)^2+(D60-F60)^2),"")</f>
        <v/>
      </c>
      <c r="H60" s="50">
        <f>IF(ISNUMBER(G60),(G60-AVERAGEIFS($G$26:$G$155,$A$26:$A$155,A60))^2,"")</f>
        <v/>
      </c>
      <c r="I60" s="48" t="n"/>
    </row>
    <row r="61" ht="15" customHeight="1" s="32">
      <c r="A61" s="41" t="inlineStr">
        <is>
          <t>T4</t>
        </is>
      </c>
      <c r="B61" s="41" t="n">
        <v>6</v>
      </c>
      <c r="C61" s="48" t="n">
        <v>-7</v>
      </c>
      <c r="D61" s="48" t="n">
        <v>0</v>
      </c>
      <c r="E61" s="50">
        <f>IF(ISNUMBER(C61),AVERAGEIFS($C$26:$C$155,$A$26:$A$155,A61),"")</f>
        <v/>
      </c>
      <c r="F61" s="50">
        <f>IF(ISNUMBER(D61),AVERAGEIFS($D$26:$D$155,$A$26:$A$155,A61),"")</f>
        <v/>
      </c>
      <c r="G61" s="50">
        <f>IF(AND(ISNUMBER(C61),ISNUMBER(D61)),SQRT((C61-E61)^2+(D61-F61)^2),"")</f>
        <v/>
      </c>
      <c r="H61" s="50">
        <f>IF(ISNUMBER(G61),(G61-AVERAGEIFS($G$26:$G$155,$A$26:$A$155,A61))^2,"")</f>
        <v/>
      </c>
      <c r="I61" s="48" t="n"/>
    </row>
    <row r="62" ht="15" customHeight="1" s="32">
      <c r="A62" s="41" t="inlineStr">
        <is>
          <t>T4</t>
        </is>
      </c>
      <c r="B62" s="41" t="n">
        <v>7</v>
      </c>
      <c r="C62" s="48" t="n">
        <v>-8</v>
      </c>
      <c r="D62" s="48" t="n">
        <v>2</v>
      </c>
      <c r="E62" s="50">
        <f>IF(ISNUMBER(C62),AVERAGEIFS($C$26:$C$155,$A$26:$A$155,A62),"")</f>
        <v/>
      </c>
      <c r="F62" s="50">
        <f>IF(ISNUMBER(D62),AVERAGEIFS($D$26:$D$155,$A$26:$A$155,A62),"")</f>
        <v/>
      </c>
      <c r="G62" s="50">
        <f>IF(AND(ISNUMBER(C62),ISNUMBER(D62)),SQRT((C62-E62)^2+(D62-F62)^2),"")</f>
        <v/>
      </c>
      <c r="H62" s="50">
        <f>IF(ISNUMBER(G62),(G62-AVERAGEIFS($G$26:$G$155,$A$26:$A$155,A62))^2,"")</f>
        <v/>
      </c>
      <c r="I62" s="48" t="n"/>
    </row>
    <row r="63" ht="15" customHeight="1" s="32">
      <c r="A63" s="41" t="inlineStr">
        <is>
          <t>T4</t>
        </is>
      </c>
      <c r="B63" s="41" t="n">
        <v>8</v>
      </c>
      <c r="C63" s="48" t="n">
        <v>-8</v>
      </c>
      <c r="D63" s="48" t="n">
        <v>4</v>
      </c>
      <c r="E63" s="50">
        <f>IF(ISNUMBER(C63),AVERAGEIFS($C$26:$C$155,$A$26:$A$155,A63),"")</f>
        <v/>
      </c>
      <c r="F63" s="50">
        <f>IF(ISNUMBER(D63),AVERAGEIFS($D$26:$D$155,$A$26:$A$155,A63),"")</f>
        <v/>
      </c>
      <c r="G63" s="50">
        <f>IF(AND(ISNUMBER(C63),ISNUMBER(D63)),SQRT((C63-E63)^2+(D63-F63)^2),"")</f>
        <v/>
      </c>
      <c r="H63" s="50">
        <f>IF(ISNUMBER(G63),(G63-AVERAGEIFS($G$26:$G$155,$A$26:$A$155,A63))^2,"")</f>
        <v/>
      </c>
      <c r="I63" s="48" t="n"/>
    </row>
    <row r="64" ht="15" customHeight="1" s="32">
      <c r="A64" s="41" t="inlineStr">
        <is>
          <t>T4</t>
        </is>
      </c>
      <c r="B64" s="41" t="n">
        <v>9</v>
      </c>
      <c r="C64" s="48" t="n">
        <v>-3</v>
      </c>
      <c r="D64" s="48" t="n">
        <v>4</v>
      </c>
      <c r="E64" s="50">
        <f>IF(ISNUMBER(C64),AVERAGEIFS($C$26:$C$155,$A$26:$A$155,A64),"")</f>
        <v/>
      </c>
      <c r="F64" s="50">
        <f>IF(ISNUMBER(D64),AVERAGEIFS($D$26:$D$155,$A$26:$A$155,A64),"")</f>
        <v/>
      </c>
      <c r="G64" s="50">
        <f>IF(AND(ISNUMBER(C64),ISNUMBER(D64)),SQRT((C64-E64)^2+(D64-F64)^2),"")</f>
        <v/>
      </c>
      <c r="H64" s="50">
        <f>IF(ISNUMBER(G64),(G64-AVERAGEIFS($G$26:$G$155,$A$26:$A$155,A64))^2,"")</f>
        <v/>
      </c>
      <c r="I64" s="48" t="n"/>
    </row>
    <row r="65" ht="15" customHeight="1" s="32">
      <c r="A65" s="41" t="inlineStr">
        <is>
          <t>T4</t>
        </is>
      </c>
      <c r="B65" s="41" t="n">
        <v>10</v>
      </c>
      <c r="C65" s="48" t="n">
        <v>-2</v>
      </c>
      <c r="D65" s="48" t="n">
        <v>0</v>
      </c>
      <c r="E65" s="50">
        <f>IF(ISNUMBER(C65),AVERAGEIFS($C$26:$C$155,$A$26:$A$155,A65),"")</f>
        <v/>
      </c>
      <c r="F65" s="50">
        <f>IF(ISNUMBER(D65),AVERAGEIFS($D$26:$D$155,$A$26:$A$155,A65),"")</f>
        <v/>
      </c>
      <c r="G65" s="50">
        <f>IF(AND(ISNUMBER(C65),ISNUMBER(D65)),SQRT((C65-E65)^2+(D65-F65)^2),"")</f>
        <v/>
      </c>
      <c r="H65" s="50">
        <f>IF(ISNUMBER(G65),(G65-AVERAGEIFS($G$26:$G$155,$A$26:$A$155,A65))^2,"")</f>
        <v/>
      </c>
      <c r="I65" s="48" t="n"/>
    </row>
    <row r="66" ht="15" customHeight="1" s="32">
      <c r="A66" s="41" t="inlineStr">
        <is>
          <t>T5</t>
        </is>
      </c>
      <c r="B66" s="41" t="n">
        <v>1</v>
      </c>
      <c r="C66" s="48" t="n">
        <v>1</v>
      </c>
      <c r="D66" s="48" t="n">
        <v>4</v>
      </c>
      <c r="E66" s="50">
        <f>IF(ISNUMBER(C66),AVERAGEIFS($C$26:$C$155,$A$26:$A$155,A66),"")</f>
        <v/>
      </c>
      <c r="F66" s="50">
        <f>IF(ISNUMBER(D66),AVERAGEIFS($D$26:$D$155,$A$26:$A$155,A66),"")</f>
        <v/>
      </c>
      <c r="G66" s="50">
        <f>IF(AND(ISNUMBER(C66),ISNUMBER(D66)),SQRT((C66-E66)^2+(D66-F66)^2),"")</f>
        <v/>
      </c>
      <c r="H66" s="50">
        <f>IF(ISNUMBER(G66),(G66-AVERAGEIFS($G$26:$G$155,$A$26:$A$155,A66))^2,"")</f>
        <v/>
      </c>
      <c r="I66" s="48" t="n"/>
    </row>
    <row r="67" ht="15" customHeight="1" s="32">
      <c r="A67" s="41" t="inlineStr">
        <is>
          <t>T5</t>
        </is>
      </c>
      <c r="B67" s="41" t="n">
        <v>2</v>
      </c>
      <c r="C67" s="48" t="n">
        <v>0</v>
      </c>
      <c r="D67" s="48" t="n">
        <v>1</v>
      </c>
      <c r="E67" s="50">
        <f>IF(ISNUMBER(C67),AVERAGEIFS($C$26:$C$155,$A$26:$A$155,A67),"")</f>
        <v/>
      </c>
      <c r="F67" s="50">
        <f>IF(ISNUMBER(D67),AVERAGEIFS($D$26:$D$155,$A$26:$A$155,A67),"")</f>
        <v/>
      </c>
      <c r="G67" s="50">
        <f>IF(AND(ISNUMBER(C67),ISNUMBER(D67)),SQRT((C67-E67)^2+(D67-F67)^2),"")</f>
        <v/>
      </c>
      <c r="H67" s="50">
        <f>IF(ISNUMBER(G67),(G67-AVERAGEIFS($G$26:$G$155,$A$26:$A$155,A67))^2,"")</f>
        <v/>
      </c>
      <c r="I67" s="48" t="n"/>
    </row>
    <row r="68" ht="15" customHeight="1" s="32">
      <c r="A68" s="41" t="inlineStr">
        <is>
          <t>T5</t>
        </is>
      </c>
      <c r="B68" s="41" t="n">
        <v>3</v>
      </c>
      <c r="C68" s="48" t="n">
        <v>0</v>
      </c>
      <c r="D68" s="48" t="n">
        <v>3</v>
      </c>
      <c r="E68" s="50">
        <f>IF(ISNUMBER(C68),AVERAGEIFS($C$26:$C$155,$A$26:$A$155,A68),"")</f>
        <v/>
      </c>
      <c r="F68" s="50">
        <f>IF(ISNUMBER(D68),AVERAGEIFS($D$26:$D$155,$A$26:$A$155,A68),"")</f>
        <v/>
      </c>
      <c r="G68" s="50">
        <f>IF(AND(ISNUMBER(C68),ISNUMBER(D68)),SQRT((C68-E68)^2+(D68-F68)^2),"")</f>
        <v/>
      </c>
      <c r="H68" s="50">
        <f>IF(ISNUMBER(G68),(G68-AVERAGEIFS($G$26:$G$155,$A$26:$A$155,A68))^2,"")</f>
        <v/>
      </c>
      <c r="I68" s="48" t="n"/>
    </row>
    <row r="69" ht="15" customHeight="1" s="32">
      <c r="A69" s="41" t="inlineStr">
        <is>
          <t>T5</t>
        </is>
      </c>
      <c r="B69" s="41" t="n">
        <v>4</v>
      </c>
      <c r="C69" s="48" t="n">
        <v>0</v>
      </c>
      <c r="D69" s="48" t="n">
        <v>6</v>
      </c>
      <c r="E69" s="50">
        <f>IF(ISNUMBER(C69),AVERAGEIFS($C$26:$C$155,$A$26:$A$155,A69),"")</f>
        <v/>
      </c>
      <c r="F69" s="50">
        <f>IF(ISNUMBER(D69),AVERAGEIFS($D$26:$D$155,$A$26:$A$155,A69),"")</f>
        <v/>
      </c>
      <c r="G69" s="50">
        <f>IF(AND(ISNUMBER(C69),ISNUMBER(D69)),SQRT((C69-E69)^2+(D69-F69)^2),"")</f>
        <v/>
      </c>
      <c r="H69" s="50">
        <f>IF(ISNUMBER(G69),(G69-AVERAGEIFS($G$26:$G$155,$A$26:$A$155,A69))^2,"")</f>
        <v/>
      </c>
      <c r="I69" s="48" t="n"/>
    </row>
    <row r="70" ht="15" customHeight="1" s="32">
      <c r="A70" s="41" t="inlineStr">
        <is>
          <t>T5</t>
        </is>
      </c>
      <c r="B70" s="41" t="n">
        <v>5</v>
      </c>
      <c r="C70" s="48" t="n">
        <v>-2</v>
      </c>
      <c r="D70" s="48" t="n">
        <v>3</v>
      </c>
      <c r="E70" s="50">
        <f>IF(ISNUMBER(C70),AVERAGEIFS($C$26:$C$155,$A$26:$A$155,A70),"")</f>
        <v/>
      </c>
      <c r="F70" s="50">
        <f>IF(ISNUMBER(D70),AVERAGEIFS($D$26:$D$155,$A$26:$A$155,A70),"")</f>
        <v/>
      </c>
      <c r="G70" s="50">
        <f>IF(AND(ISNUMBER(C70),ISNUMBER(D70)),SQRT((C70-E70)^2+(D70-F70)^2),"")</f>
        <v/>
      </c>
      <c r="H70" s="50">
        <f>IF(ISNUMBER(G70),(G70-AVERAGEIFS($G$26:$G$155,$A$26:$A$155,A70))^2,"")</f>
        <v/>
      </c>
      <c r="I70" s="48" t="n"/>
    </row>
    <row r="71" ht="15" customHeight="1" s="32">
      <c r="A71" s="41" t="inlineStr">
        <is>
          <t>T5</t>
        </is>
      </c>
      <c r="B71" s="41" t="n">
        <v>6</v>
      </c>
      <c r="C71" s="48" t="n">
        <v>-3</v>
      </c>
      <c r="D71" s="48" t="n">
        <v>5</v>
      </c>
      <c r="E71" s="50">
        <f>IF(ISNUMBER(C71),AVERAGEIFS($C$26:$C$155,$A$26:$A$155,A71),"")</f>
        <v/>
      </c>
      <c r="F71" s="50">
        <f>IF(ISNUMBER(D71),AVERAGEIFS($D$26:$D$155,$A$26:$A$155,A71),"")</f>
        <v/>
      </c>
      <c r="G71" s="50">
        <f>IF(AND(ISNUMBER(C71),ISNUMBER(D71)),SQRT((C71-E71)^2+(D71-F71)^2),"")</f>
        <v/>
      </c>
      <c r="H71" s="50">
        <f>IF(ISNUMBER(G71),(G71-AVERAGEIFS($G$26:$G$155,$A$26:$A$155,A71))^2,"")</f>
        <v/>
      </c>
      <c r="I71" s="48" t="n"/>
    </row>
    <row r="72" ht="15" customHeight="1" s="32">
      <c r="A72" s="41" t="inlineStr">
        <is>
          <t>T5</t>
        </is>
      </c>
      <c r="B72" s="41" t="n">
        <v>7</v>
      </c>
      <c r="C72" s="48" t="n">
        <v>-4</v>
      </c>
      <c r="D72" s="48" t="n">
        <v>7</v>
      </c>
      <c r="E72" s="50">
        <f>IF(ISNUMBER(C72),AVERAGEIFS($C$26:$C$155,$A$26:$A$155,A72),"")</f>
        <v/>
      </c>
      <c r="F72" s="50">
        <f>IF(ISNUMBER(D72),AVERAGEIFS($D$26:$D$155,$A$26:$A$155,A72),"")</f>
        <v/>
      </c>
      <c r="G72" s="50">
        <f>IF(AND(ISNUMBER(C72),ISNUMBER(D72)),SQRT((C72-E72)^2+(D72-F72)^2),"")</f>
        <v/>
      </c>
      <c r="H72" s="50">
        <f>IF(ISNUMBER(G72),(G72-AVERAGEIFS($G$26:$G$155,$A$26:$A$155,A72))^2,"")</f>
        <v/>
      </c>
      <c r="I72" s="48" t="n"/>
    </row>
    <row r="73" ht="15" customHeight="1" s="32">
      <c r="A73" s="41" t="inlineStr">
        <is>
          <t>T5</t>
        </is>
      </c>
      <c r="B73" s="41" t="n">
        <v>8</v>
      </c>
      <c r="C73" s="48" t="n">
        <v>-2</v>
      </c>
      <c r="D73" s="48" t="n">
        <v>8</v>
      </c>
      <c r="E73" s="50">
        <f>IF(ISNUMBER(C73),AVERAGEIFS($C$26:$C$155,$A$26:$A$155,A73),"")</f>
        <v/>
      </c>
      <c r="F73" s="50">
        <f>IF(ISNUMBER(D73),AVERAGEIFS($D$26:$D$155,$A$26:$A$155,A73),"")</f>
        <v/>
      </c>
      <c r="G73" s="50">
        <f>IF(AND(ISNUMBER(C73),ISNUMBER(D73)),SQRT((C73-E73)^2+(D73-F73)^2),"")</f>
        <v/>
      </c>
      <c r="H73" s="50">
        <f>IF(ISNUMBER(G73),(G73-AVERAGEIFS($G$26:$G$155,$A$26:$A$155,A73))^2,"")</f>
        <v/>
      </c>
      <c r="I73" s="48" t="n"/>
    </row>
    <row r="74" ht="15" customHeight="1" s="32">
      <c r="A74" s="41" t="inlineStr">
        <is>
          <t>T5</t>
        </is>
      </c>
      <c r="B74" s="41" t="n">
        <v>9</v>
      </c>
      <c r="C74" s="48" t="n">
        <v>-4</v>
      </c>
      <c r="D74" s="48" t="n">
        <v>4</v>
      </c>
      <c r="E74" s="50">
        <f>IF(ISNUMBER(C74),AVERAGEIFS($C$26:$C$155,$A$26:$A$155,A74),"")</f>
        <v/>
      </c>
      <c r="F74" s="50">
        <f>IF(ISNUMBER(D74),AVERAGEIFS($D$26:$D$155,$A$26:$A$155,A74),"")</f>
        <v/>
      </c>
      <c r="G74" s="50">
        <f>IF(AND(ISNUMBER(C74),ISNUMBER(D74)),SQRT((C74-E74)^2+(D74-F74)^2),"")</f>
        <v/>
      </c>
      <c r="H74" s="50">
        <f>IF(ISNUMBER(G74),(G74-AVERAGEIFS($G$26:$G$155,$A$26:$A$155,A74))^2,"")</f>
        <v/>
      </c>
      <c r="I74" s="48" t="n"/>
    </row>
    <row r="75" ht="15" customHeight="1" s="32">
      <c r="A75" s="41" t="inlineStr">
        <is>
          <t>T5</t>
        </is>
      </c>
      <c r="B75" s="41" t="n">
        <v>10</v>
      </c>
      <c r="C75" s="48" t="n">
        <v>-4</v>
      </c>
      <c r="D75" s="48" t="n">
        <v>2</v>
      </c>
      <c r="E75" s="50">
        <f>IF(ISNUMBER(C75),AVERAGEIFS($C$26:$C$155,$A$26:$A$155,A75),"")</f>
        <v/>
      </c>
      <c r="F75" s="50">
        <f>IF(ISNUMBER(D75),AVERAGEIFS($D$26:$D$155,$A$26:$A$155,A75),"")</f>
        <v/>
      </c>
      <c r="G75" s="50">
        <f>IF(AND(ISNUMBER(C75),ISNUMBER(D75)),SQRT((C75-E75)^2+(D75-F75)^2),"")</f>
        <v/>
      </c>
      <c r="H75" s="50">
        <f>IF(ISNUMBER(G75),(G75-AVERAGEIFS($G$26:$G$155,$A$26:$A$155,A75))^2,"")</f>
        <v/>
      </c>
      <c r="I75" s="48" t="n"/>
    </row>
    <row r="76" ht="15" customHeight="1" s="32">
      <c r="A76" s="41" t="inlineStr">
        <is>
          <t>T6</t>
        </is>
      </c>
      <c r="B76" s="41" t="n">
        <v>1</v>
      </c>
      <c r="C76" s="48" t="n">
        <v>1</v>
      </c>
      <c r="D76" s="48" t="n">
        <v>5</v>
      </c>
      <c r="E76" s="50">
        <f>IF(ISNUMBER(C76),AVERAGEIFS($C$26:$C$155,$A$26:$A$155,A76),"")</f>
        <v/>
      </c>
      <c r="F76" s="50">
        <f>IF(ISNUMBER(D76),AVERAGEIFS($D$26:$D$155,$A$26:$A$155,A76),"")</f>
        <v/>
      </c>
      <c r="G76" s="50">
        <f>IF(AND(ISNUMBER(C76),ISNUMBER(D76)),SQRT((C76-E76)^2+(D76-F76)^2),"")</f>
        <v/>
      </c>
      <c r="H76" s="50">
        <f>IF(ISNUMBER(G76),(G76-AVERAGEIFS($G$26:$G$155,$A$26:$A$155,A76))^2,"")</f>
        <v/>
      </c>
      <c r="I76" s="48" t="n"/>
    </row>
    <row r="77" ht="15" customHeight="1" s="32">
      <c r="A77" s="41" t="inlineStr">
        <is>
          <t>T6</t>
        </is>
      </c>
      <c r="B77" s="41" t="n">
        <v>2</v>
      </c>
      <c r="C77" s="48" t="n">
        <v>2</v>
      </c>
      <c r="D77" s="48" t="n">
        <v>2</v>
      </c>
      <c r="E77" s="50">
        <f>IF(ISNUMBER(C77),AVERAGEIFS($C$26:$C$155,$A$26:$A$155,A77),"")</f>
        <v/>
      </c>
      <c r="F77" s="50">
        <f>IF(ISNUMBER(D77),AVERAGEIFS($D$26:$D$155,$A$26:$A$155,A77),"")</f>
        <v/>
      </c>
      <c r="G77" s="50">
        <f>IF(AND(ISNUMBER(C77),ISNUMBER(D77)),SQRT((C77-E77)^2+(D77-F77)^2),"")</f>
        <v/>
      </c>
      <c r="H77" s="50">
        <f>IF(ISNUMBER(G77),(G77-AVERAGEIFS($G$26:$G$155,$A$26:$A$155,A77))^2,"")</f>
        <v/>
      </c>
      <c r="I77" s="48" t="n"/>
    </row>
    <row r="78" ht="15" customHeight="1" s="32">
      <c r="A78" s="41" t="inlineStr">
        <is>
          <t>T6</t>
        </is>
      </c>
      <c r="B78" s="41" t="n">
        <v>3</v>
      </c>
      <c r="C78" s="48" t="n">
        <v>3</v>
      </c>
      <c r="D78" s="48" t="n">
        <v>4</v>
      </c>
      <c r="E78" s="50">
        <f>IF(ISNUMBER(C78),AVERAGEIFS($C$26:$C$155,$A$26:$A$155,A78),"")</f>
        <v/>
      </c>
      <c r="F78" s="50">
        <f>IF(ISNUMBER(D78),AVERAGEIFS($D$26:$D$155,$A$26:$A$155,A78),"")</f>
        <v/>
      </c>
      <c r="G78" s="50">
        <f>IF(AND(ISNUMBER(C78),ISNUMBER(D78)),SQRT((C78-E78)^2+(D78-F78)^2),"")</f>
        <v/>
      </c>
      <c r="H78" s="50">
        <f>IF(ISNUMBER(G78),(G78-AVERAGEIFS($G$26:$G$155,$A$26:$A$155,A78))^2,"")</f>
        <v/>
      </c>
      <c r="I78" s="48" t="n"/>
    </row>
    <row r="79" ht="15" customHeight="1" s="32">
      <c r="A79" s="41" t="inlineStr">
        <is>
          <t>T6</t>
        </is>
      </c>
      <c r="B79" s="41" t="n">
        <v>4</v>
      </c>
      <c r="C79" s="48" t="n">
        <v>0</v>
      </c>
      <c r="D79" s="48" t="n">
        <v>2</v>
      </c>
      <c r="E79" s="50">
        <f>IF(ISNUMBER(C79),AVERAGEIFS($C$26:$C$155,$A$26:$A$155,A79),"")</f>
        <v/>
      </c>
      <c r="F79" s="50">
        <f>IF(ISNUMBER(D79),AVERAGEIFS($D$26:$D$155,$A$26:$A$155,A79),"")</f>
        <v/>
      </c>
      <c r="G79" s="50">
        <f>IF(AND(ISNUMBER(C79),ISNUMBER(D79)),SQRT((C79-E79)^2+(D79-F79)^2),"")</f>
        <v/>
      </c>
      <c r="H79" s="50">
        <f>IF(ISNUMBER(G79),(G79-AVERAGEIFS($G$26:$G$155,$A$26:$A$155,A79))^2,"")</f>
        <v/>
      </c>
      <c r="I79" s="48" t="n"/>
    </row>
    <row r="80" ht="15" customHeight="1" s="32">
      <c r="A80" s="41" t="inlineStr">
        <is>
          <t>T6</t>
        </is>
      </c>
      <c r="B80" s="41" t="n">
        <v>5</v>
      </c>
      <c r="C80" s="48" t="n">
        <v>0</v>
      </c>
      <c r="D80" s="48" t="n">
        <v>4</v>
      </c>
      <c r="E80" s="50">
        <f>IF(ISNUMBER(C80),AVERAGEIFS($C$26:$C$155,$A$26:$A$155,A80),"")</f>
        <v/>
      </c>
      <c r="F80" s="50">
        <f>IF(ISNUMBER(D80),AVERAGEIFS($D$26:$D$155,$A$26:$A$155,A80),"")</f>
        <v/>
      </c>
      <c r="G80" s="50">
        <f>IF(AND(ISNUMBER(C80),ISNUMBER(D80)),SQRT((C80-E80)^2+(D80-F80)^2),"")</f>
        <v/>
      </c>
      <c r="H80" s="50">
        <f>IF(ISNUMBER(G80),(G80-AVERAGEIFS($G$26:$G$155,$A$26:$A$155,A80))^2,"")</f>
        <v/>
      </c>
      <c r="I80" s="48" t="n"/>
    </row>
    <row r="81" ht="15" customHeight="1" s="32">
      <c r="A81" s="41" t="inlineStr">
        <is>
          <t>T6</t>
        </is>
      </c>
      <c r="B81" s="41" t="n">
        <v>6</v>
      </c>
      <c r="C81" s="48" t="n">
        <v>-2</v>
      </c>
      <c r="D81" s="48" t="n">
        <v>2</v>
      </c>
      <c r="E81" s="50">
        <f>IF(ISNUMBER(C81),AVERAGEIFS($C$26:$C$155,$A$26:$A$155,A81),"")</f>
        <v/>
      </c>
      <c r="F81" s="50">
        <f>IF(ISNUMBER(D81),AVERAGEIFS($D$26:$D$155,$A$26:$A$155,A81),"")</f>
        <v/>
      </c>
      <c r="G81" s="50">
        <f>IF(AND(ISNUMBER(C81),ISNUMBER(D81)),SQRT((C81-E81)^2+(D81-F81)^2),"")</f>
        <v/>
      </c>
      <c r="H81" s="50">
        <f>IF(ISNUMBER(G81),(G81-AVERAGEIFS($G$26:$G$155,$A$26:$A$155,A81))^2,"")</f>
        <v/>
      </c>
      <c r="I81" s="48" t="n"/>
    </row>
    <row r="82" ht="15" customHeight="1" s="32">
      <c r="A82" s="41" t="inlineStr">
        <is>
          <t>T6</t>
        </is>
      </c>
      <c r="B82" s="41" t="n">
        <v>7</v>
      </c>
      <c r="C82" s="48" t="n">
        <v>-2</v>
      </c>
      <c r="D82" s="48" t="n">
        <v>4</v>
      </c>
      <c r="E82" s="50">
        <f>IF(ISNUMBER(C82),AVERAGEIFS($C$26:$C$155,$A$26:$A$155,A82),"")</f>
        <v/>
      </c>
      <c r="F82" s="50">
        <f>IF(ISNUMBER(D82),AVERAGEIFS($D$26:$D$155,$A$26:$A$155,A82),"")</f>
        <v/>
      </c>
      <c r="G82" s="50">
        <f>IF(AND(ISNUMBER(C82),ISNUMBER(D82)),SQRT((C82-E82)^2+(D82-F82)^2),"")</f>
        <v/>
      </c>
      <c r="H82" s="50">
        <f>IF(ISNUMBER(G82),(G82-AVERAGEIFS($G$26:$G$155,$A$26:$A$155,A82))^2,"")</f>
        <v/>
      </c>
      <c r="I82" s="48" t="n"/>
    </row>
    <row r="83" ht="15" customHeight="1" s="32">
      <c r="A83" s="41" t="inlineStr">
        <is>
          <t>T6</t>
        </is>
      </c>
      <c r="B83" s="41" t="n">
        <v>8</v>
      </c>
      <c r="C83" s="48" t="n">
        <v>-4</v>
      </c>
      <c r="D83" s="48" t="n">
        <v>1</v>
      </c>
      <c r="E83" s="50">
        <f>IF(ISNUMBER(C83),AVERAGEIFS($C$26:$C$155,$A$26:$A$155,A83),"")</f>
        <v/>
      </c>
      <c r="F83" s="50">
        <f>IF(ISNUMBER(D83),AVERAGEIFS($D$26:$D$155,$A$26:$A$155,A83),"")</f>
        <v/>
      </c>
      <c r="G83" s="50">
        <f>IF(AND(ISNUMBER(C83),ISNUMBER(D83)),SQRT((C83-E83)^2+(D83-F83)^2),"")</f>
        <v/>
      </c>
      <c r="H83" s="50">
        <f>IF(ISNUMBER(G83),(G83-AVERAGEIFS($G$26:$G$155,$A$26:$A$155,A83))^2,"")</f>
        <v/>
      </c>
      <c r="I83" s="48" t="n"/>
    </row>
    <row r="84" ht="15" customHeight="1" s="32">
      <c r="A84" s="41" t="inlineStr">
        <is>
          <t>T6</t>
        </is>
      </c>
      <c r="B84" s="41" t="n">
        <v>9</v>
      </c>
      <c r="C84" s="48" t="n">
        <v>-4</v>
      </c>
      <c r="D84" s="48" t="n">
        <v>3</v>
      </c>
      <c r="E84" s="50">
        <f>IF(ISNUMBER(C84),AVERAGEIFS($C$26:$C$155,$A$26:$A$155,A84),"")</f>
        <v/>
      </c>
      <c r="F84" s="50">
        <f>IF(ISNUMBER(D84),AVERAGEIFS($D$26:$D$155,$A$26:$A$155,A84),"")</f>
        <v/>
      </c>
      <c r="G84" s="50">
        <f>IF(AND(ISNUMBER(C84),ISNUMBER(D84)),SQRT((C84-E84)^2+(D84-F84)^2),"")</f>
        <v/>
      </c>
      <c r="H84" s="50">
        <f>IF(ISNUMBER(G84),(G84-AVERAGEIFS($G$26:$G$155,$A$26:$A$155,A84))^2,"")</f>
        <v/>
      </c>
      <c r="I84" s="48" t="n"/>
    </row>
    <row r="85" ht="15" customHeight="1" s="32">
      <c r="A85" s="41" t="inlineStr">
        <is>
          <t>T6</t>
        </is>
      </c>
      <c r="B85" s="41" t="n">
        <v>10</v>
      </c>
      <c r="C85" s="48" t="n">
        <v>-2</v>
      </c>
      <c r="D85" s="48" t="n">
        <v>5</v>
      </c>
      <c r="E85" s="50">
        <f>IF(ISNUMBER(C85),AVERAGEIFS($C$26:$C$155,$A$26:$A$155,A85),"")</f>
        <v/>
      </c>
      <c r="F85" s="50">
        <f>IF(ISNUMBER(D85),AVERAGEIFS($D$26:$D$155,$A$26:$A$155,A85),"")</f>
        <v/>
      </c>
      <c r="G85" s="50">
        <f>IF(AND(ISNUMBER(C85),ISNUMBER(D85)),SQRT((C85-E85)^2+(D85-F85)^2),"")</f>
        <v/>
      </c>
      <c r="H85" s="50">
        <f>IF(ISNUMBER(G85),(G85-AVERAGEIFS($G$26:$G$155,$A$26:$A$155,A85))^2,"")</f>
        <v/>
      </c>
      <c r="I85" s="48" t="n"/>
    </row>
    <row r="86" ht="15" customHeight="1" s="32">
      <c r="A86" s="41" t="inlineStr">
        <is>
          <t>T7</t>
        </is>
      </c>
      <c r="B86" s="41" t="n">
        <v>1</v>
      </c>
      <c r="C86" s="48" t="n">
        <v>-2</v>
      </c>
      <c r="D86" s="48" t="n">
        <v>2</v>
      </c>
      <c r="E86" s="50">
        <f>IF(ISNUMBER(C86),AVERAGEIFS($C$26:$C$155,$A$26:$A$155,A86),"")</f>
        <v/>
      </c>
      <c r="F86" s="50">
        <f>IF(ISNUMBER(D86),AVERAGEIFS($D$26:$D$155,$A$26:$A$155,A86),"")</f>
        <v/>
      </c>
      <c r="G86" s="50">
        <f>IF(AND(ISNUMBER(C86),ISNUMBER(D86)),SQRT((C86-E86)^2+(D86-F86)^2),"")</f>
        <v/>
      </c>
      <c r="H86" s="50">
        <f>IF(ISNUMBER(G86),(G86-AVERAGEIFS($G$26:$G$155,$A$26:$A$155,A86))^2,"")</f>
        <v/>
      </c>
      <c r="I86" s="48" t="n"/>
    </row>
    <row r="87" ht="15" customHeight="1" s="32">
      <c r="A87" s="41" t="inlineStr">
        <is>
          <t>T7</t>
        </is>
      </c>
      <c r="B87" s="41" t="n">
        <v>2</v>
      </c>
      <c r="C87" s="48" t="n">
        <v>-2</v>
      </c>
      <c r="D87" s="48" t="n">
        <v>4</v>
      </c>
      <c r="E87" s="50">
        <f>IF(ISNUMBER(C87),AVERAGEIFS($C$26:$C$155,$A$26:$A$155,A87),"")</f>
        <v/>
      </c>
      <c r="F87" s="50">
        <f>IF(ISNUMBER(D87),AVERAGEIFS($D$26:$D$155,$A$26:$A$155,A87),"")</f>
        <v/>
      </c>
      <c r="G87" s="50">
        <f>IF(AND(ISNUMBER(C87),ISNUMBER(D87)),SQRT((C87-E87)^2+(D87-F87)^2),"")</f>
        <v/>
      </c>
      <c r="H87" s="50">
        <f>IF(ISNUMBER(G87),(G87-AVERAGEIFS($G$26:$G$155,$A$26:$A$155,A87))^2,"")</f>
        <v/>
      </c>
      <c r="I87" s="48" t="n"/>
    </row>
    <row r="88" ht="15" customHeight="1" s="32">
      <c r="A88" s="41" t="inlineStr">
        <is>
          <t>T7</t>
        </is>
      </c>
      <c r="B88" s="41" t="n">
        <v>3</v>
      </c>
      <c r="C88" s="48" t="n">
        <v>-2</v>
      </c>
      <c r="D88" s="48" t="n">
        <v>1</v>
      </c>
      <c r="E88" s="50">
        <f>IF(ISNUMBER(C88),AVERAGEIFS($C$26:$C$155,$A$26:$A$155,A88),"")</f>
        <v/>
      </c>
      <c r="F88" s="50">
        <f>IF(ISNUMBER(D88),AVERAGEIFS($D$26:$D$155,$A$26:$A$155,A88),"")</f>
        <v/>
      </c>
      <c r="G88" s="50">
        <f>IF(AND(ISNUMBER(C88),ISNUMBER(D88)),SQRT((C88-E88)^2+(D88-F88)^2),"")</f>
        <v/>
      </c>
      <c r="H88" s="50">
        <f>IF(ISNUMBER(G88),(G88-AVERAGEIFS($G$26:$G$155,$A$26:$A$155,A88))^2,"")</f>
        <v/>
      </c>
      <c r="I88" s="48" t="n"/>
    </row>
    <row r="89" ht="15" customHeight="1" s="32">
      <c r="A89" s="41" t="inlineStr">
        <is>
          <t>T7</t>
        </is>
      </c>
      <c r="B89" s="41" t="n">
        <v>4</v>
      </c>
      <c r="C89" s="48" t="n">
        <v>-4</v>
      </c>
      <c r="D89" s="48" t="n">
        <v>1</v>
      </c>
      <c r="E89" s="50">
        <f>IF(ISNUMBER(C89),AVERAGEIFS($C$26:$C$155,$A$26:$A$155,A89),"")</f>
        <v/>
      </c>
      <c r="F89" s="50">
        <f>IF(ISNUMBER(D89),AVERAGEIFS($D$26:$D$155,$A$26:$A$155,A89),"")</f>
        <v/>
      </c>
      <c r="G89" s="50">
        <f>IF(AND(ISNUMBER(C89),ISNUMBER(D89)),SQRT((C89-E89)^2+(D89-F89)^2),"")</f>
        <v/>
      </c>
      <c r="H89" s="50">
        <f>IF(ISNUMBER(G89),(G89-AVERAGEIFS($G$26:$G$155,$A$26:$A$155,A89))^2,"")</f>
        <v/>
      </c>
      <c r="I89" s="48" t="n"/>
    </row>
    <row r="90" ht="15" customHeight="1" s="32">
      <c r="A90" s="41" t="inlineStr">
        <is>
          <t>T7</t>
        </is>
      </c>
      <c r="B90" s="41" t="n">
        <v>5</v>
      </c>
      <c r="C90" s="48" t="n">
        <v>-4</v>
      </c>
      <c r="D90" s="48" t="n">
        <v>3</v>
      </c>
      <c r="E90" s="50">
        <f>IF(ISNUMBER(C90),AVERAGEIFS($C$26:$C$155,$A$26:$A$155,A90),"")</f>
        <v/>
      </c>
      <c r="F90" s="50">
        <f>IF(ISNUMBER(D90),AVERAGEIFS($D$26:$D$155,$A$26:$A$155,A90),"")</f>
        <v/>
      </c>
      <c r="G90" s="50">
        <f>IF(AND(ISNUMBER(C90),ISNUMBER(D90)),SQRT((C90-E90)^2+(D90-F90)^2),"")</f>
        <v/>
      </c>
      <c r="H90" s="50">
        <f>IF(ISNUMBER(G90),(G90-AVERAGEIFS($G$26:$G$155,$A$26:$A$155,A90))^2,"")</f>
        <v/>
      </c>
      <c r="I90" s="48" t="n"/>
    </row>
    <row r="91" ht="15" customHeight="1" s="32">
      <c r="A91" s="41" t="inlineStr">
        <is>
          <t>T7</t>
        </is>
      </c>
      <c r="B91" s="41" t="n">
        <v>6</v>
      </c>
      <c r="C91" s="48" t="n">
        <v>-4</v>
      </c>
      <c r="D91" s="48" t="n">
        <v>4</v>
      </c>
      <c r="E91" s="50">
        <f>IF(ISNUMBER(C91),AVERAGEIFS($C$26:$C$155,$A$26:$A$155,A91),"")</f>
        <v/>
      </c>
      <c r="F91" s="50">
        <f>IF(ISNUMBER(D91),AVERAGEIFS($D$26:$D$155,$A$26:$A$155,A91),"")</f>
        <v/>
      </c>
      <c r="G91" s="50">
        <f>IF(AND(ISNUMBER(C91),ISNUMBER(D91)),SQRT((C91-E91)^2+(D91-F91)^2),"")</f>
        <v/>
      </c>
      <c r="H91" s="50">
        <f>IF(ISNUMBER(G91),(G91-AVERAGEIFS($G$26:$G$155,$A$26:$A$155,A91))^2,"")</f>
        <v/>
      </c>
      <c r="I91" s="48" t="n"/>
    </row>
    <row r="92" ht="15" customHeight="1" s="32">
      <c r="A92" s="41" t="inlineStr">
        <is>
          <t>T7</t>
        </is>
      </c>
      <c r="B92" s="41" t="n">
        <v>7</v>
      </c>
      <c r="C92" s="48" t="n">
        <v>-6</v>
      </c>
      <c r="D92" s="48" t="n">
        <v>3</v>
      </c>
      <c r="E92" s="50">
        <f>IF(ISNUMBER(C92),AVERAGEIFS($C$26:$C$155,$A$26:$A$155,A92),"")</f>
        <v/>
      </c>
      <c r="F92" s="50">
        <f>IF(ISNUMBER(D92),AVERAGEIFS($D$26:$D$155,$A$26:$A$155,A92),"")</f>
        <v/>
      </c>
      <c r="G92" s="50">
        <f>IF(AND(ISNUMBER(C92),ISNUMBER(D92)),SQRT((C92-E92)^2+(D92-F92)^2),"")</f>
        <v/>
      </c>
      <c r="H92" s="50">
        <f>IF(ISNUMBER(G92),(G92-AVERAGEIFS($G$26:$G$155,$A$26:$A$155,A92))^2,"")</f>
        <v/>
      </c>
      <c r="I92" s="48" t="n"/>
    </row>
    <row r="93" ht="15" customHeight="1" s="32">
      <c r="A93" s="41" t="inlineStr">
        <is>
          <t>T7</t>
        </is>
      </c>
      <c r="B93" s="41" t="n">
        <v>8</v>
      </c>
      <c r="C93" s="48" t="n">
        <v>-3</v>
      </c>
      <c r="D93" s="48" t="n">
        <v>-1</v>
      </c>
      <c r="E93" s="50">
        <f>IF(ISNUMBER(C93),AVERAGEIFS($C$26:$C$155,$A$26:$A$155,A93),"")</f>
        <v/>
      </c>
      <c r="F93" s="50">
        <f>IF(ISNUMBER(D93),AVERAGEIFS($D$26:$D$155,$A$26:$A$155,A93),"")</f>
        <v/>
      </c>
      <c r="G93" s="50">
        <f>IF(AND(ISNUMBER(C93),ISNUMBER(D93)),SQRT((C93-E93)^2+(D93-F93)^2),"")</f>
        <v/>
      </c>
      <c r="H93" s="50">
        <f>IF(ISNUMBER(G93),(G93-AVERAGEIFS($G$26:$G$155,$A$26:$A$155,A93))^2,"")</f>
        <v/>
      </c>
      <c r="I93" s="48" t="n"/>
    </row>
    <row r="94" ht="15" customHeight="1" s="32">
      <c r="A94" s="41" t="inlineStr">
        <is>
          <t>T7</t>
        </is>
      </c>
      <c r="B94" s="41" t="n">
        <v>9</v>
      </c>
      <c r="C94" s="48" t="n">
        <v>-6</v>
      </c>
      <c r="D94" s="48" t="n">
        <v>5</v>
      </c>
      <c r="E94" s="50">
        <f>IF(ISNUMBER(C94),AVERAGEIFS($C$26:$C$155,$A$26:$A$155,A94),"")</f>
        <v/>
      </c>
      <c r="F94" s="50">
        <f>IF(ISNUMBER(D94),AVERAGEIFS($D$26:$D$155,$A$26:$A$155,A94),"")</f>
        <v/>
      </c>
      <c r="G94" s="50">
        <f>IF(AND(ISNUMBER(C94),ISNUMBER(D94)),SQRT((C94-E94)^2+(D94-F94)^2),"")</f>
        <v/>
      </c>
      <c r="H94" s="50">
        <f>IF(ISNUMBER(G94),(G94-AVERAGEIFS($G$26:$G$155,$A$26:$A$155,A94))^2,"")</f>
        <v/>
      </c>
      <c r="I94" s="48" t="n"/>
    </row>
    <row r="95" ht="15" customHeight="1" s="32">
      <c r="A95" s="41" t="inlineStr">
        <is>
          <t>T7</t>
        </is>
      </c>
      <c r="B95" s="41" t="n">
        <v>10</v>
      </c>
      <c r="C95" s="48" t="n">
        <v>-4</v>
      </c>
      <c r="D95" s="48" t="n">
        <v>-1</v>
      </c>
      <c r="E95" s="50">
        <f>IF(ISNUMBER(C95),AVERAGEIFS($C$26:$C$155,$A$26:$A$155,A95),"")</f>
        <v/>
      </c>
      <c r="F95" s="50">
        <f>IF(ISNUMBER(D95),AVERAGEIFS($D$26:$D$155,$A$26:$A$155,A95),"")</f>
        <v/>
      </c>
      <c r="G95" s="50">
        <f>IF(AND(ISNUMBER(C95),ISNUMBER(D95)),SQRT((C95-E95)^2+(D95-F95)^2),"")</f>
        <v/>
      </c>
      <c r="H95" s="50">
        <f>IF(ISNUMBER(G95),(G95-AVERAGEIFS($G$26:$G$155,$A$26:$A$155,A95))^2,"")</f>
        <v/>
      </c>
      <c r="I95" s="48" t="n"/>
    </row>
    <row r="96" ht="15" customHeight="1" s="32">
      <c r="A96" s="41" t="inlineStr">
        <is>
          <t>T8</t>
        </is>
      </c>
      <c r="B96" s="41" t="n">
        <v>1</v>
      </c>
      <c r="C96" s="48" t="n">
        <v>-6</v>
      </c>
      <c r="D96" s="48" t="n">
        <v>-1</v>
      </c>
      <c r="E96" s="50">
        <f>IF(ISNUMBER(C96),AVERAGEIFS($C$26:$C$155,$A$26:$A$155,A96),"")</f>
        <v/>
      </c>
      <c r="F96" s="50">
        <f>IF(ISNUMBER(D96),AVERAGEIFS($D$26:$D$155,$A$26:$A$155,A96),"")</f>
        <v/>
      </c>
      <c r="G96" s="50">
        <f>IF(AND(ISNUMBER(C96),ISNUMBER(D96)),SQRT((C96-E96)^2+(D96-F96)^2),"")</f>
        <v/>
      </c>
      <c r="H96" s="50">
        <f>IF(ISNUMBER(G96),(G96-AVERAGEIFS($G$26:$G$155,$A$26:$A$155,A96))^2,"")</f>
        <v/>
      </c>
      <c r="I96" s="48" t="n"/>
    </row>
    <row r="97" ht="15" customHeight="1" s="32">
      <c r="A97" s="41" t="inlineStr">
        <is>
          <t>T8</t>
        </is>
      </c>
      <c r="B97" s="41" t="n">
        <v>2</v>
      </c>
      <c r="C97" s="48" t="n">
        <v>-7</v>
      </c>
      <c r="D97" s="48" t="n">
        <v>1</v>
      </c>
      <c r="E97" s="50">
        <f>IF(ISNUMBER(C97),AVERAGEIFS($C$26:$C$155,$A$26:$A$155,A97),"")</f>
        <v/>
      </c>
      <c r="F97" s="50">
        <f>IF(ISNUMBER(D97),AVERAGEIFS($D$26:$D$155,$A$26:$A$155,A97),"")</f>
        <v/>
      </c>
      <c r="G97" s="50">
        <f>IF(AND(ISNUMBER(C97),ISNUMBER(D97)),SQRT((C97-E97)^2+(D97-F97)^2),"")</f>
        <v/>
      </c>
      <c r="H97" s="50">
        <f>IF(ISNUMBER(G97),(G97-AVERAGEIFS($G$26:$G$155,$A$26:$A$155,A97))^2,"")</f>
        <v/>
      </c>
      <c r="I97" s="48" t="n"/>
    </row>
    <row r="98" ht="15" customHeight="1" s="32">
      <c r="A98" s="41" t="inlineStr">
        <is>
          <t>T8</t>
        </is>
      </c>
      <c r="B98" s="41" t="n">
        <v>3</v>
      </c>
      <c r="C98" s="48" t="n">
        <v>-6</v>
      </c>
      <c r="D98" s="48" t="n">
        <v>2</v>
      </c>
      <c r="E98" s="50">
        <f>IF(ISNUMBER(C98),AVERAGEIFS($C$26:$C$155,$A$26:$A$155,A98),"")</f>
        <v/>
      </c>
      <c r="F98" s="50">
        <f>IF(ISNUMBER(D98),AVERAGEIFS($D$26:$D$155,$A$26:$A$155,A98),"")</f>
        <v/>
      </c>
      <c r="G98" s="50">
        <f>IF(AND(ISNUMBER(C98),ISNUMBER(D98)),SQRT((C98-E98)^2+(D98-F98)^2),"")</f>
        <v/>
      </c>
      <c r="H98" s="50">
        <f>IF(ISNUMBER(G98),(G98-AVERAGEIFS($G$26:$G$155,$A$26:$A$155,A98))^2,"")</f>
        <v/>
      </c>
      <c r="I98" s="48" t="n"/>
    </row>
    <row r="99" ht="15" customHeight="1" s="32">
      <c r="A99" s="41" t="inlineStr">
        <is>
          <t>T8</t>
        </is>
      </c>
      <c r="B99" s="41" t="n">
        <v>4</v>
      </c>
      <c r="C99" s="48" t="n">
        <v>-8</v>
      </c>
      <c r="D99" s="48" t="n">
        <v>2</v>
      </c>
      <c r="E99" s="50">
        <f>IF(ISNUMBER(C99),AVERAGEIFS($C$26:$C$155,$A$26:$A$155,A99),"")</f>
        <v/>
      </c>
      <c r="F99" s="50">
        <f>IF(ISNUMBER(D99),AVERAGEIFS($D$26:$D$155,$A$26:$A$155,A99),"")</f>
        <v/>
      </c>
      <c r="G99" s="50">
        <f>IF(AND(ISNUMBER(C99),ISNUMBER(D99)),SQRT((C99-E99)^2+(D99-F99)^2),"")</f>
        <v/>
      </c>
      <c r="H99" s="50">
        <f>IF(ISNUMBER(G99),(G99-AVERAGEIFS($G$26:$G$155,$A$26:$A$155,A99))^2,"")</f>
        <v/>
      </c>
      <c r="I99" s="48" t="n"/>
    </row>
    <row r="100" ht="15" customHeight="1" s="32">
      <c r="A100" s="41" t="inlineStr">
        <is>
          <t>T8</t>
        </is>
      </c>
      <c r="B100" s="41" t="n">
        <v>5</v>
      </c>
      <c r="C100" s="48" t="n">
        <v>-4</v>
      </c>
      <c r="D100" s="48" t="n">
        <v>2</v>
      </c>
      <c r="E100" s="50">
        <f>IF(ISNUMBER(C100),AVERAGEIFS($C$26:$C$155,$A$26:$A$155,A100),"")</f>
        <v/>
      </c>
      <c r="F100" s="50">
        <f>IF(ISNUMBER(D100),AVERAGEIFS($D$26:$D$155,$A$26:$A$155,A100),"")</f>
        <v/>
      </c>
      <c r="G100" s="50">
        <f>IF(AND(ISNUMBER(C100),ISNUMBER(D100)),SQRT((C100-E100)^2+(D100-F100)^2),"")</f>
        <v/>
      </c>
      <c r="H100" s="50">
        <f>IF(ISNUMBER(G100),(G100-AVERAGEIFS($G$26:$G$155,$A$26:$A$155,A100))^2,"")</f>
        <v/>
      </c>
      <c r="I100" s="48" t="n"/>
    </row>
    <row r="101" ht="15" customHeight="1" s="32">
      <c r="A101" s="41" t="inlineStr">
        <is>
          <t>T8</t>
        </is>
      </c>
      <c r="B101" s="41" t="n">
        <v>6</v>
      </c>
      <c r="C101" s="48" t="n">
        <v>-6</v>
      </c>
      <c r="D101" s="48" t="n">
        <v>2</v>
      </c>
      <c r="E101" s="50">
        <f>IF(ISNUMBER(C101),AVERAGEIFS($C$26:$C$155,$A$26:$A$155,A101),"")</f>
        <v/>
      </c>
      <c r="F101" s="50">
        <f>IF(ISNUMBER(D101),AVERAGEIFS($D$26:$D$155,$A$26:$A$155,A101),"")</f>
        <v/>
      </c>
      <c r="G101" s="50">
        <f>IF(AND(ISNUMBER(C101),ISNUMBER(D101)),SQRT((C101-E101)^2+(D101-F101)^2),"")</f>
        <v/>
      </c>
      <c r="H101" s="50">
        <f>IF(ISNUMBER(G101),(G101-AVERAGEIFS($G$26:$G$155,$A$26:$A$155,A101))^2,"")</f>
        <v/>
      </c>
      <c r="I101" s="48" t="n"/>
    </row>
    <row r="102" ht="15" customHeight="1" s="32">
      <c r="A102" s="41" t="inlineStr">
        <is>
          <t>T8</t>
        </is>
      </c>
      <c r="B102" s="41" t="n">
        <v>7</v>
      </c>
      <c r="C102" s="48" t="n">
        <v>-7</v>
      </c>
      <c r="D102" s="48" t="n">
        <v>4</v>
      </c>
      <c r="E102" s="50">
        <f>IF(ISNUMBER(C102),AVERAGEIFS($C$26:$C$155,$A$26:$A$155,A102),"")</f>
        <v/>
      </c>
      <c r="F102" s="50">
        <f>IF(ISNUMBER(D102),AVERAGEIFS($D$26:$D$155,$A$26:$A$155,A102),"")</f>
        <v/>
      </c>
      <c r="G102" s="50">
        <f>IF(AND(ISNUMBER(C102),ISNUMBER(D102)),SQRT((C102-E102)^2+(D102-F102)^2),"")</f>
        <v/>
      </c>
      <c r="H102" s="50">
        <f>IF(ISNUMBER(G102),(G102-AVERAGEIFS($G$26:$G$155,$A$26:$A$155,A102))^2,"")</f>
        <v/>
      </c>
      <c r="I102" s="48" t="n"/>
    </row>
    <row r="103" ht="15" customHeight="1" s="32">
      <c r="A103" s="41" t="inlineStr">
        <is>
          <t>T8</t>
        </is>
      </c>
      <c r="B103" s="41" t="n">
        <v>8</v>
      </c>
      <c r="C103" s="48" t="n">
        <v>-4</v>
      </c>
      <c r="D103" s="48" t="n">
        <v>4</v>
      </c>
      <c r="E103" s="50">
        <f>IF(ISNUMBER(C103),AVERAGEIFS($C$26:$C$155,$A$26:$A$155,A103),"")</f>
        <v/>
      </c>
      <c r="F103" s="50">
        <f>IF(ISNUMBER(D103),AVERAGEIFS($D$26:$D$155,$A$26:$A$155,A103),"")</f>
        <v/>
      </c>
      <c r="G103" s="50">
        <f>IF(AND(ISNUMBER(C103),ISNUMBER(D103)),SQRT((C103-E103)^2+(D103-F103)^2),"")</f>
        <v/>
      </c>
      <c r="H103" s="50">
        <f>IF(ISNUMBER(G103),(G103-AVERAGEIFS($G$26:$G$155,$A$26:$A$155,A103))^2,"")</f>
        <v/>
      </c>
      <c r="I103" s="48" t="n"/>
    </row>
    <row r="104" ht="15" customHeight="1" s="32">
      <c r="A104" s="41" t="inlineStr">
        <is>
          <t>T8</t>
        </is>
      </c>
      <c r="B104" s="41" t="n">
        <v>9</v>
      </c>
      <c r="C104" s="48" t="n">
        <v>-6</v>
      </c>
      <c r="D104" s="48" t="n">
        <v>6</v>
      </c>
      <c r="E104" s="50">
        <f>IF(ISNUMBER(C104),AVERAGEIFS($C$26:$C$155,$A$26:$A$155,A104),"")</f>
        <v/>
      </c>
      <c r="F104" s="50">
        <f>IF(ISNUMBER(D104),AVERAGEIFS($D$26:$D$155,$A$26:$A$155,A104),"")</f>
        <v/>
      </c>
      <c r="G104" s="50">
        <f>IF(AND(ISNUMBER(C104),ISNUMBER(D104)),SQRT((C104-E104)^2+(D104-F104)^2),"")</f>
        <v/>
      </c>
      <c r="H104" s="50">
        <f>IF(ISNUMBER(G104),(G104-AVERAGEIFS($G$26:$G$155,$A$26:$A$155,A104))^2,"")</f>
        <v/>
      </c>
      <c r="I104" s="48" t="n"/>
    </row>
    <row r="105" ht="15" customHeight="1" s="32">
      <c r="A105" s="41" t="inlineStr">
        <is>
          <t>T8</t>
        </is>
      </c>
      <c r="B105" s="41" t="n">
        <v>10</v>
      </c>
      <c r="C105" s="48" t="n">
        <v>-3</v>
      </c>
      <c r="D105" s="48" t="n">
        <v>8</v>
      </c>
      <c r="E105" s="50">
        <f>IF(ISNUMBER(C105),AVERAGEIFS($C$26:$C$155,$A$26:$A$155,A105),"")</f>
        <v/>
      </c>
      <c r="F105" s="50">
        <f>IF(ISNUMBER(D105),AVERAGEIFS($D$26:$D$155,$A$26:$A$155,A105),"")</f>
        <v/>
      </c>
      <c r="G105" s="50">
        <f>IF(AND(ISNUMBER(C105),ISNUMBER(D105)),SQRT((C105-E105)^2+(D105-F105)^2),"")</f>
        <v/>
      </c>
      <c r="H105" s="50">
        <f>IF(ISNUMBER(G105),(G105-AVERAGEIFS($G$26:$G$155,$A$26:$A$155,A105))^2,"")</f>
        <v/>
      </c>
      <c r="I105" s="48" t="n"/>
    </row>
    <row r="106" ht="15" customHeight="1" s="32">
      <c r="A106" s="41" t="inlineStr">
        <is>
          <t>T9</t>
        </is>
      </c>
      <c r="B106" s="41" t="n">
        <v>1</v>
      </c>
      <c r="C106" s="48" t="n">
        <v>0</v>
      </c>
      <c r="D106" s="48" t="n">
        <v>-2</v>
      </c>
      <c r="E106" s="50">
        <f>IF(ISNUMBER(C106),AVERAGEIFS($C$26:$C$155,$A$26:$A$155,A106),"")</f>
        <v/>
      </c>
      <c r="F106" s="50">
        <f>IF(ISNUMBER(D106),AVERAGEIFS($D$26:$D$155,$A$26:$A$155,A106),"")</f>
        <v/>
      </c>
      <c r="G106" s="50">
        <f>IF(AND(ISNUMBER(C106),ISNUMBER(D106)),SQRT((C106-E106)^2+(D106-F106)^2),"")</f>
        <v/>
      </c>
      <c r="H106" s="50">
        <f>IF(ISNUMBER(G106),(G106-AVERAGEIFS($G$26:$G$155,$A$26:$A$155,A106))^2,"")</f>
        <v/>
      </c>
      <c r="I106" s="48" t="n"/>
    </row>
    <row r="107" ht="15" customHeight="1" s="32">
      <c r="A107" s="41" t="inlineStr">
        <is>
          <t>T9</t>
        </is>
      </c>
      <c r="B107" s="41" t="n">
        <v>2</v>
      </c>
      <c r="C107" s="48" t="n">
        <v>-1</v>
      </c>
      <c r="D107" s="48" t="n">
        <v>-1</v>
      </c>
      <c r="E107" s="50">
        <f>IF(ISNUMBER(C107),AVERAGEIFS($C$26:$C$155,$A$26:$A$155,A107),"")</f>
        <v/>
      </c>
      <c r="F107" s="50">
        <f>IF(ISNUMBER(D107),AVERAGEIFS($D$26:$D$155,$A$26:$A$155,A107),"")</f>
        <v/>
      </c>
      <c r="G107" s="50">
        <f>IF(AND(ISNUMBER(C107),ISNUMBER(D107)),SQRT((C107-E107)^2+(D107-F107)^2),"")</f>
        <v/>
      </c>
      <c r="H107" s="50">
        <f>IF(ISNUMBER(G107),(G107-AVERAGEIFS($G$26:$G$155,$A$26:$A$155,A107))^2,"")</f>
        <v/>
      </c>
      <c r="I107" s="48" t="n"/>
    </row>
    <row r="108" ht="15" customHeight="1" s="32">
      <c r="A108" s="41" t="inlineStr">
        <is>
          <t>T9</t>
        </is>
      </c>
      <c r="B108" s="41" t="n">
        <v>3</v>
      </c>
      <c r="C108" s="48" t="n">
        <v>-2</v>
      </c>
      <c r="D108" s="48" t="n">
        <v>1</v>
      </c>
      <c r="E108" s="50">
        <f>IF(ISNUMBER(C108),AVERAGEIFS($C$26:$C$155,$A$26:$A$155,A108),"")</f>
        <v/>
      </c>
      <c r="F108" s="50">
        <f>IF(ISNUMBER(D108),AVERAGEIFS($D$26:$D$155,$A$26:$A$155,A108),"")</f>
        <v/>
      </c>
      <c r="G108" s="50">
        <f>IF(AND(ISNUMBER(C108),ISNUMBER(D108)),SQRT((C108-E108)^2+(D108-F108)^2),"")</f>
        <v/>
      </c>
      <c r="H108" s="50">
        <f>IF(ISNUMBER(G108),(G108-AVERAGEIFS($G$26:$G$155,$A$26:$A$155,A108))^2,"")</f>
        <v/>
      </c>
      <c r="I108" s="48" t="n"/>
    </row>
    <row r="109" ht="15" customHeight="1" s="32">
      <c r="A109" s="41" t="inlineStr">
        <is>
          <t>T9</t>
        </is>
      </c>
      <c r="B109" s="41" t="n">
        <v>4</v>
      </c>
      <c r="C109" s="48" t="n">
        <v>-2</v>
      </c>
      <c r="D109" s="48" t="n">
        <v>-1</v>
      </c>
      <c r="E109" s="50">
        <f>IF(ISNUMBER(C109),AVERAGEIFS($C$26:$C$155,$A$26:$A$155,A109),"")</f>
        <v/>
      </c>
      <c r="F109" s="50">
        <f>IF(ISNUMBER(D109),AVERAGEIFS($D$26:$D$155,$A$26:$A$155,A109),"")</f>
        <v/>
      </c>
      <c r="G109" s="50">
        <f>IF(AND(ISNUMBER(C109),ISNUMBER(D109)),SQRT((C109-E109)^2+(D109-F109)^2),"")</f>
        <v/>
      </c>
      <c r="H109" s="50">
        <f>IF(ISNUMBER(G109),(G109-AVERAGEIFS($G$26:$G$155,$A$26:$A$155,A109))^2,"")</f>
        <v/>
      </c>
      <c r="I109" s="48" t="n"/>
    </row>
    <row r="110" ht="15" customHeight="1" s="32">
      <c r="A110" s="41" t="inlineStr">
        <is>
          <t>T9</t>
        </is>
      </c>
      <c r="B110" s="41" t="n">
        <v>5</v>
      </c>
      <c r="C110" s="48" t="n">
        <v>-2</v>
      </c>
      <c r="D110" s="48" t="n">
        <v>3</v>
      </c>
      <c r="E110" s="50">
        <f>IF(ISNUMBER(C110),AVERAGEIFS($C$26:$C$155,$A$26:$A$155,A110),"")</f>
        <v/>
      </c>
      <c r="F110" s="50">
        <f>IF(ISNUMBER(D110),AVERAGEIFS($D$26:$D$155,$A$26:$A$155,A110),"")</f>
        <v/>
      </c>
      <c r="G110" s="50">
        <f>IF(AND(ISNUMBER(C110),ISNUMBER(D110)),SQRT((C110-E110)^2+(D110-F110)^2),"")</f>
        <v/>
      </c>
      <c r="H110" s="50">
        <f>IF(ISNUMBER(G110),(G110-AVERAGEIFS($G$26:$G$155,$A$26:$A$155,A110))^2,"")</f>
        <v/>
      </c>
      <c r="I110" s="48" t="n"/>
    </row>
    <row r="111" ht="15" customHeight="1" s="32">
      <c r="A111" s="41" t="inlineStr">
        <is>
          <t>T9</t>
        </is>
      </c>
      <c r="B111" s="41" t="n">
        <v>6</v>
      </c>
      <c r="C111" s="48" t="n">
        <v>-3</v>
      </c>
      <c r="D111" s="48" t="n">
        <v>-1</v>
      </c>
      <c r="E111" s="50">
        <f>IF(ISNUMBER(C111),AVERAGEIFS($C$26:$C$155,$A$26:$A$155,A111),"")</f>
        <v/>
      </c>
      <c r="F111" s="50">
        <f>IF(ISNUMBER(D111),AVERAGEIFS($D$26:$D$155,$A$26:$A$155,A111),"")</f>
        <v/>
      </c>
      <c r="G111" s="50">
        <f>IF(AND(ISNUMBER(C111),ISNUMBER(D111)),SQRT((C111-E111)^2+(D111-F111)^2),"")</f>
        <v/>
      </c>
      <c r="H111" s="50">
        <f>IF(ISNUMBER(G111),(G111-AVERAGEIFS($G$26:$G$155,$A$26:$A$155,A111))^2,"")</f>
        <v/>
      </c>
      <c r="I111" s="48" t="n"/>
    </row>
    <row r="112" ht="15" customHeight="1" s="32">
      <c r="A112" s="41" t="inlineStr">
        <is>
          <t>T9</t>
        </is>
      </c>
      <c r="B112" s="41" t="n">
        <v>7</v>
      </c>
      <c r="C112" s="48" t="n">
        <v>-3</v>
      </c>
      <c r="D112" s="48" t="n">
        <v>-2</v>
      </c>
      <c r="E112" s="50">
        <f>IF(ISNUMBER(C112),AVERAGEIFS($C$26:$C$155,$A$26:$A$155,A112),"")</f>
        <v/>
      </c>
      <c r="F112" s="50">
        <f>IF(ISNUMBER(D112),AVERAGEIFS($D$26:$D$155,$A$26:$A$155,A112),"")</f>
        <v/>
      </c>
      <c r="G112" s="50">
        <f>IF(AND(ISNUMBER(C112),ISNUMBER(D112)),SQRT((C112-E112)^2+(D112-F112)^2),"")</f>
        <v/>
      </c>
      <c r="H112" s="50">
        <f>IF(ISNUMBER(G112),(G112-AVERAGEIFS($G$26:$G$155,$A$26:$A$155,A112))^2,"")</f>
        <v/>
      </c>
      <c r="I112" s="48" t="n"/>
    </row>
    <row r="113" ht="15" customHeight="1" s="32">
      <c r="A113" s="41" t="inlineStr">
        <is>
          <t>T9</t>
        </is>
      </c>
      <c r="B113" s="41" t="n">
        <v>8</v>
      </c>
      <c r="C113" s="48" t="n">
        <v>-4</v>
      </c>
      <c r="D113" s="48" t="n">
        <v>-1</v>
      </c>
      <c r="E113" s="50">
        <f>IF(ISNUMBER(C113),AVERAGEIFS($C$26:$C$155,$A$26:$A$155,A113),"")</f>
        <v/>
      </c>
      <c r="F113" s="50">
        <f>IF(ISNUMBER(D113),AVERAGEIFS($D$26:$D$155,$A$26:$A$155,A113),"")</f>
        <v/>
      </c>
      <c r="G113" s="50">
        <f>IF(AND(ISNUMBER(C113),ISNUMBER(D113)),SQRT((C113-E113)^2+(D113-F113)^2),"")</f>
        <v/>
      </c>
      <c r="H113" s="50">
        <f>IF(ISNUMBER(G113),(G113-AVERAGEIFS($G$26:$G$155,$A$26:$A$155,A113))^2,"")</f>
        <v/>
      </c>
      <c r="I113" s="48" t="n"/>
    </row>
    <row r="114" ht="15" customHeight="1" s="32">
      <c r="A114" s="41" t="inlineStr">
        <is>
          <t>T9</t>
        </is>
      </c>
      <c r="B114" s="41" t="n">
        <v>9</v>
      </c>
      <c r="C114" s="48" t="n">
        <v>-4</v>
      </c>
      <c r="D114" s="48" t="n">
        <v>-3</v>
      </c>
      <c r="E114" s="50">
        <f>IF(ISNUMBER(C114),AVERAGEIFS($C$26:$C$155,$A$26:$A$155,A114),"")</f>
        <v/>
      </c>
      <c r="F114" s="50">
        <f>IF(ISNUMBER(D114),AVERAGEIFS($D$26:$D$155,$A$26:$A$155,A114),"")</f>
        <v/>
      </c>
      <c r="G114" s="50">
        <f>IF(AND(ISNUMBER(C114),ISNUMBER(D114)),SQRT((C114-E114)^2+(D114-F114)^2),"")</f>
        <v/>
      </c>
      <c r="H114" s="50">
        <f>IF(ISNUMBER(G114),(G114-AVERAGEIFS($G$26:$G$155,$A$26:$A$155,A114))^2,"")</f>
        <v/>
      </c>
      <c r="I114" s="48" t="n"/>
    </row>
    <row r="115" ht="15" customHeight="1" s="32">
      <c r="A115" s="41" t="inlineStr">
        <is>
          <t>T9</t>
        </is>
      </c>
      <c r="B115" s="41" t="n">
        <v>10</v>
      </c>
      <c r="C115" s="48" t="n"/>
      <c r="D115" s="48" t="n"/>
      <c r="E115" s="50">
        <f>IF(ISNUMBER(C115),AVERAGEIFS($C$26:$C$155,$A$26:$A$155,A115),"")</f>
        <v/>
      </c>
      <c r="F115" s="50">
        <f>IF(ISNUMBER(D115),AVERAGEIFS($D$26:$D$155,$A$26:$A$155,A115),"")</f>
        <v/>
      </c>
      <c r="G115" s="50">
        <f>IF(AND(ISNUMBER(C115),ISNUMBER(D115)),SQRT((C115-E115)^2+(D115-F115)^2),"")</f>
        <v/>
      </c>
      <c r="H115" s="50">
        <f>IF(ISNUMBER(G115),(G115-AVERAGEIFS($G$26:$G$155,$A$26:$A$155,A115))^2,"")</f>
        <v/>
      </c>
      <c r="I115" s="48" t="inlineStr">
        <is>
          <t>lateral not recorded (radial −4); trial left out</t>
        </is>
      </c>
    </row>
    <row r="116" ht="15" customHeight="1" s="32">
      <c r="A116" s="41" t="inlineStr">
        <is>
          <t>T9</t>
        </is>
      </c>
      <c r="B116" s="41" t="n">
        <v>11</v>
      </c>
      <c r="C116" s="48" t="n">
        <v>-5</v>
      </c>
      <c r="D116" s="48" t="n">
        <v>0</v>
      </c>
      <c r="E116" s="50">
        <f>IF(ISNUMBER(C116),AVERAGEIFS($C$26:$C$155,$A$26:$A$155,A116),"")</f>
        <v/>
      </c>
      <c r="F116" s="50">
        <f>IF(ISNUMBER(D116),AVERAGEIFS($D$26:$D$155,$A$26:$A$155,A116),"")</f>
        <v/>
      </c>
      <c r="G116" s="50">
        <f>IF(AND(ISNUMBER(C116),ISNUMBER(D116)),SQRT((C116-E116)^2+(D116-F116)^2),"")</f>
        <v/>
      </c>
      <c r="H116" s="50">
        <f>IF(ISNUMBER(G116),(G116-AVERAGEIFS($G$26:$G$155,$A$26:$A$155,A116))^2,"")</f>
        <v/>
      </c>
      <c r="I116" s="48" t="n"/>
    </row>
    <row r="117" ht="15" customHeight="1" s="32">
      <c r="A117" s="41" t="inlineStr">
        <is>
          <t>T9</t>
        </is>
      </c>
      <c r="B117" s="41" t="n">
        <v>12</v>
      </c>
      <c r="C117" s="48" t="n">
        <v>-5</v>
      </c>
      <c r="D117" s="48" t="n">
        <v>2</v>
      </c>
      <c r="E117" s="50">
        <f>IF(ISNUMBER(C117),AVERAGEIFS($C$26:$C$155,$A$26:$A$155,A117),"")</f>
        <v/>
      </c>
      <c r="F117" s="50">
        <f>IF(ISNUMBER(D117),AVERAGEIFS($D$26:$D$155,$A$26:$A$155,A117),"")</f>
        <v/>
      </c>
      <c r="G117" s="50">
        <f>IF(AND(ISNUMBER(C117),ISNUMBER(D117)),SQRT((C117-E117)^2+(D117-F117)^2),"")</f>
        <v/>
      </c>
      <c r="H117" s="50">
        <f>IF(ISNUMBER(G117),(G117-AVERAGEIFS($G$26:$G$155,$A$26:$A$155,A117))^2,"")</f>
        <v/>
      </c>
      <c r="I117" s="48" t="n"/>
    </row>
    <row r="118" ht="15" customHeight="1" s="32">
      <c r="A118" s="41" t="inlineStr">
        <is>
          <t>T9</t>
        </is>
      </c>
      <c r="B118" s="41" t="n">
        <v>13</v>
      </c>
      <c r="C118" s="48" t="n">
        <v>-6</v>
      </c>
      <c r="D118" s="48" t="n">
        <v>-2</v>
      </c>
      <c r="E118" s="50">
        <f>IF(ISNUMBER(C118),AVERAGEIFS($C$26:$C$155,$A$26:$A$155,A118),"")</f>
        <v/>
      </c>
      <c r="F118" s="50">
        <f>IF(ISNUMBER(D118),AVERAGEIFS($D$26:$D$155,$A$26:$A$155,A118),"")</f>
        <v/>
      </c>
      <c r="G118" s="50">
        <f>IF(AND(ISNUMBER(C118),ISNUMBER(D118)),SQRT((C118-E118)^2+(D118-F118)^2),"")</f>
        <v/>
      </c>
      <c r="H118" s="50">
        <f>IF(ISNUMBER(G118),(G118-AVERAGEIFS($G$26:$G$155,$A$26:$A$155,A118))^2,"")</f>
        <v/>
      </c>
      <c r="I118" s="48" t="n"/>
    </row>
    <row r="119" ht="15" customHeight="1" s="32">
      <c r="A119" s="41" t="inlineStr">
        <is>
          <t>T9</t>
        </is>
      </c>
      <c r="B119" s="41" t="n">
        <v>14</v>
      </c>
      <c r="C119" s="48" t="n">
        <v>-6</v>
      </c>
      <c r="D119" s="48" t="n">
        <v>-1</v>
      </c>
      <c r="E119" s="50">
        <f>IF(ISNUMBER(C119),AVERAGEIFS($C$26:$C$155,$A$26:$A$155,A119),"")</f>
        <v/>
      </c>
      <c r="F119" s="50">
        <f>IF(ISNUMBER(D119),AVERAGEIFS($D$26:$D$155,$A$26:$A$155,A119),"")</f>
        <v/>
      </c>
      <c r="G119" s="50">
        <f>IF(AND(ISNUMBER(C119),ISNUMBER(D119)),SQRT((C119-E119)^2+(D119-F119)^2),"")</f>
        <v/>
      </c>
      <c r="H119" s="50">
        <f>IF(ISNUMBER(G119),(G119-AVERAGEIFS($G$26:$G$155,$A$26:$A$155,A119))^2,"")</f>
        <v/>
      </c>
      <c r="I119" s="48" t="n"/>
    </row>
    <row r="120" ht="15" customHeight="1" s="32">
      <c r="A120" s="41" t="inlineStr">
        <is>
          <t>T9</t>
        </is>
      </c>
      <c r="B120" s="41" t="n">
        <v>15</v>
      </c>
      <c r="C120" s="48" t="n">
        <v>-6</v>
      </c>
      <c r="D120" s="48" t="n">
        <v>0</v>
      </c>
      <c r="E120" s="50">
        <f>IF(ISNUMBER(C120),AVERAGEIFS($C$26:$C$155,$A$26:$A$155,A120),"")</f>
        <v/>
      </c>
      <c r="F120" s="50">
        <f>IF(ISNUMBER(D120),AVERAGEIFS($D$26:$D$155,$A$26:$A$155,A120),"")</f>
        <v/>
      </c>
      <c r="G120" s="50">
        <f>IF(AND(ISNUMBER(C120),ISNUMBER(D120)),SQRT((C120-E120)^2+(D120-F120)^2),"")</f>
        <v/>
      </c>
      <c r="H120" s="50">
        <f>IF(ISNUMBER(G120),(G120-AVERAGEIFS($G$26:$G$155,$A$26:$A$155,A120))^2,"")</f>
        <v/>
      </c>
      <c r="I120" s="48" t="n"/>
    </row>
    <row r="121" ht="15" customHeight="1" s="32">
      <c r="A121" s="41" t="inlineStr">
        <is>
          <t>T9</t>
        </is>
      </c>
      <c r="B121" s="41" t="n">
        <v>16</v>
      </c>
      <c r="C121" s="48" t="n">
        <v>-6</v>
      </c>
      <c r="D121" s="48" t="n">
        <v>1</v>
      </c>
      <c r="E121" s="50">
        <f>IF(ISNUMBER(C121),AVERAGEIFS($C$26:$C$155,$A$26:$A$155,A121),"")</f>
        <v/>
      </c>
      <c r="F121" s="50">
        <f>IF(ISNUMBER(D121),AVERAGEIFS($D$26:$D$155,$A$26:$A$155,A121),"")</f>
        <v/>
      </c>
      <c r="G121" s="50">
        <f>IF(AND(ISNUMBER(C121),ISNUMBER(D121)),SQRT((C121-E121)^2+(D121-F121)^2),"")</f>
        <v/>
      </c>
      <c r="H121" s="50">
        <f>IF(ISNUMBER(G121),(G121-AVERAGEIFS($G$26:$G$155,$A$26:$A$155,A121))^2,"")</f>
        <v/>
      </c>
      <c r="I121" s="48" t="n"/>
    </row>
    <row r="122" ht="15" customHeight="1" s="32">
      <c r="A122" s="41" t="inlineStr">
        <is>
          <t>T9</t>
        </is>
      </c>
      <c r="B122" s="41" t="n">
        <v>17</v>
      </c>
      <c r="C122" s="48" t="n">
        <v>-6</v>
      </c>
      <c r="D122" s="48" t="n">
        <v>3</v>
      </c>
      <c r="E122" s="50">
        <f>IF(ISNUMBER(C122),AVERAGEIFS($C$26:$C$155,$A$26:$A$155,A122),"")</f>
        <v/>
      </c>
      <c r="F122" s="50">
        <f>IF(ISNUMBER(D122),AVERAGEIFS($D$26:$D$155,$A$26:$A$155,A122),"")</f>
        <v/>
      </c>
      <c r="G122" s="50">
        <f>IF(AND(ISNUMBER(C122),ISNUMBER(D122)),SQRT((C122-E122)^2+(D122-F122)^2),"")</f>
        <v/>
      </c>
      <c r="H122" s="50">
        <f>IF(ISNUMBER(G122),(G122-AVERAGEIFS($G$26:$G$155,$A$26:$A$155,A122))^2,"")</f>
        <v/>
      </c>
      <c r="I122" s="48" t="n"/>
    </row>
    <row r="123" ht="15" customHeight="1" s="32">
      <c r="A123" s="41" t="inlineStr">
        <is>
          <t>T9</t>
        </is>
      </c>
      <c r="B123" s="41" t="n">
        <v>18</v>
      </c>
      <c r="C123" s="48" t="n">
        <v>-6</v>
      </c>
      <c r="D123" s="48" t="n">
        <v>4</v>
      </c>
      <c r="E123" s="50">
        <f>IF(ISNUMBER(C123),AVERAGEIFS($C$26:$C$155,$A$26:$A$155,A123),"")</f>
        <v/>
      </c>
      <c r="F123" s="50">
        <f>IF(ISNUMBER(D123),AVERAGEIFS($D$26:$D$155,$A$26:$A$155,A123),"")</f>
        <v/>
      </c>
      <c r="G123" s="50">
        <f>IF(AND(ISNUMBER(C123),ISNUMBER(D123)),SQRT((C123-E123)^2+(D123-F123)^2),"")</f>
        <v/>
      </c>
      <c r="H123" s="50">
        <f>IF(ISNUMBER(G123),(G123-AVERAGEIFS($G$26:$G$155,$A$26:$A$155,A123))^2,"")</f>
        <v/>
      </c>
      <c r="I123" s="48" t="n"/>
    </row>
    <row r="124" ht="15" customHeight="1" s="32">
      <c r="A124" s="41" t="inlineStr">
        <is>
          <t>T9</t>
        </is>
      </c>
      <c r="B124" s="41" t="n">
        <v>19</v>
      </c>
      <c r="C124" s="48" t="n">
        <v>-6</v>
      </c>
      <c r="D124" s="48" t="n">
        <v>0</v>
      </c>
      <c r="E124" s="50">
        <f>IF(ISNUMBER(C124),AVERAGEIFS($C$26:$C$155,$A$26:$A$155,A124),"")</f>
        <v/>
      </c>
      <c r="F124" s="50">
        <f>IF(ISNUMBER(D124),AVERAGEIFS($D$26:$D$155,$A$26:$A$155,A124),"")</f>
        <v/>
      </c>
      <c r="G124" s="50">
        <f>IF(AND(ISNUMBER(C124),ISNUMBER(D124)),SQRT((C124-E124)^2+(D124-F124)^2),"")</f>
        <v/>
      </c>
      <c r="H124" s="50">
        <f>IF(ISNUMBER(G124),(G124-AVERAGEIFS($G$26:$G$155,$A$26:$A$155,A124))^2,"")</f>
        <v/>
      </c>
      <c r="I124" s="48" t="n"/>
    </row>
    <row r="125" ht="15" customHeight="1" s="32">
      <c r="A125" s="41" t="inlineStr">
        <is>
          <t>T9</t>
        </is>
      </c>
      <c r="B125" s="41" t="n">
        <v>20</v>
      </c>
      <c r="C125" s="48" t="n">
        <v>-6</v>
      </c>
      <c r="D125" s="48" t="n">
        <v>1</v>
      </c>
      <c r="E125" s="50">
        <f>IF(ISNUMBER(C125),AVERAGEIFS($C$26:$C$155,$A$26:$A$155,A125),"")</f>
        <v/>
      </c>
      <c r="F125" s="50">
        <f>IF(ISNUMBER(D125),AVERAGEIFS($D$26:$D$155,$A$26:$A$155,A125),"")</f>
        <v/>
      </c>
      <c r="G125" s="50">
        <f>IF(AND(ISNUMBER(C125),ISNUMBER(D125)),SQRT((C125-E125)^2+(D125-F125)^2),"")</f>
        <v/>
      </c>
      <c r="H125" s="50">
        <f>IF(ISNUMBER(G125),(G125-AVERAGEIFS($G$26:$G$155,$A$26:$A$155,A125))^2,"")</f>
        <v/>
      </c>
      <c r="I125" s="48" t="n"/>
    </row>
    <row r="126" ht="15" customHeight="1" s="32">
      <c r="A126" s="41" t="inlineStr">
        <is>
          <t>T9</t>
        </is>
      </c>
      <c r="B126" s="41" t="n">
        <v>21</v>
      </c>
      <c r="C126" s="48" t="n">
        <v>-6</v>
      </c>
      <c r="D126" s="48" t="n">
        <v>3</v>
      </c>
      <c r="E126" s="50">
        <f>IF(ISNUMBER(C126),AVERAGEIFS($C$26:$C$155,$A$26:$A$155,A126),"")</f>
        <v/>
      </c>
      <c r="F126" s="50">
        <f>IF(ISNUMBER(D126),AVERAGEIFS($D$26:$D$155,$A$26:$A$155,A126),"")</f>
        <v/>
      </c>
      <c r="G126" s="50">
        <f>IF(AND(ISNUMBER(C126),ISNUMBER(D126)),SQRT((C126-E126)^2+(D126-F126)^2),"")</f>
        <v/>
      </c>
      <c r="H126" s="50">
        <f>IF(ISNUMBER(G126),(G126-AVERAGEIFS($G$26:$G$155,$A$26:$A$155,A126))^2,"")</f>
        <v/>
      </c>
      <c r="I126" s="48" t="n"/>
    </row>
    <row r="127" ht="15" customHeight="1" s="32">
      <c r="A127" s="41" t="inlineStr">
        <is>
          <t>T9</t>
        </is>
      </c>
      <c r="B127" s="41" t="n">
        <v>22</v>
      </c>
      <c r="C127" s="48" t="n">
        <v>-7</v>
      </c>
      <c r="D127" s="48" t="n">
        <v>-4</v>
      </c>
      <c r="E127" s="50">
        <f>IF(ISNUMBER(C127),AVERAGEIFS($C$26:$C$155,$A$26:$A$155,A127),"")</f>
        <v/>
      </c>
      <c r="F127" s="50">
        <f>IF(ISNUMBER(D127),AVERAGEIFS($D$26:$D$155,$A$26:$A$155,A127),"")</f>
        <v/>
      </c>
      <c r="G127" s="50">
        <f>IF(AND(ISNUMBER(C127),ISNUMBER(D127)),SQRT((C127-E127)^2+(D127-F127)^2),"")</f>
        <v/>
      </c>
      <c r="H127" s="50">
        <f>IF(ISNUMBER(G127),(G127-AVERAGEIFS($G$26:$G$155,$A$26:$A$155,A127))^2,"")</f>
        <v/>
      </c>
      <c r="I127" s="48" t="n"/>
    </row>
    <row r="128" ht="15" customHeight="1" s="32">
      <c r="A128" s="41" t="inlineStr">
        <is>
          <t>T9</t>
        </is>
      </c>
      <c r="B128" s="41" t="n">
        <v>23</v>
      </c>
      <c r="C128" s="48" t="n">
        <v>-7</v>
      </c>
      <c r="D128" s="48" t="n">
        <v>-2</v>
      </c>
      <c r="E128" s="50">
        <f>IF(ISNUMBER(C128),AVERAGEIFS($C$26:$C$155,$A$26:$A$155,A128),"")</f>
        <v/>
      </c>
      <c r="F128" s="50">
        <f>IF(ISNUMBER(D128),AVERAGEIFS($D$26:$D$155,$A$26:$A$155,A128),"")</f>
        <v/>
      </c>
      <c r="G128" s="50">
        <f>IF(AND(ISNUMBER(C128),ISNUMBER(D128)),SQRT((C128-E128)^2+(D128-F128)^2),"")</f>
        <v/>
      </c>
      <c r="H128" s="50">
        <f>IF(ISNUMBER(G128),(G128-AVERAGEIFS($G$26:$G$155,$A$26:$A$155,A128))^2,"")</f>
        <v/>
      </c>
      <c r="I128" s="48" t="n"/>
    </row>
    <row r="129" ht="15" customHeight="1" s="32">
      <c r="A129" s="41" t="inlineStr">
        <is>
          <t>T9</t>
        </is>
      </c>
      <c r="B129" s="41" t="n">
        <v>24</v>
      </c>
      <c r="C129" s="48" t="n">
        <v>-7</v>
      </c>
      <c r="D129" s="48" t="n">
        <v>0</v>
      </c>
      <c r="E129" s="50">
        <f>IF(ISNUMBER(C129),AVERAGEIFS($C$26:$C$155,$A$26:$A$155,A129),"")</f>
        <v/>
      </c>
      <c r="F129" s="50">
        <f>IF(ISNUMBER(D129),AVERAGEIFS($D$26:$D$155,$A$26:$A$155,A129),"")</f>
        <v/>
      </c>
      <c r="G129" s="50">
        <f>IF(AND(ISNUMBER(C129),ISNUMBER(D129)),SQRT((C129-E129)^2+(D129-F129)^2),"")</f>
        <v/>
      </c>
      <c r="H129" s="50">
        <f>IF(ISNUMBER(G129),(G129-AVERAGEIFS($G$26:$G$155,$A$26:$A$155,A129))^2,"")</f>
        <v/>
      </c>
      <c r="I129" s="48" t="n"/>
    </row>
    <row r="130" ht="15" customHeight="1" s="32">
      <c r="A130" s="41" t="inlineStr">
        <is>
          <t>T9</t>
        </is>
      </c>
      <c r="B130" s="41" t="n">
        <v>25</v>
      </c>
      <c r="C130" s="48" t="n">
        <v>-7</v>
      </c>
      <c r="D130" s="48" t="n">
        <v>4</v>
      </c>
      <c r="E130" s="50">
        <f>IF(ISNUMBER(C130),AVERAGEIFS($C$26:$C$155,$A$26:$A$155,A130),"")</f>
        <v/>
      </c>
      <c r="F130" s="50">
        <f>IF(ISNUMBER(D130),AVERAGEIFS($D$26:$D$155,$A$26:$A$155,A130),"")</f>
        <v/>
      </c>
      <c r="G130" s="50">
        <f>IF(AND(ISNUMBER(C130),ISNUMBER(D130)),SQRT((C130-E130)^2+(D130-F130)^2),"")</f>
        <v/>
      </c>
      <c r="H130" s="50">
        <f>IF(ISNUMBER(G130),(G130-AVERAGEIFS($G$26:$G$155,$A$26:$A$155,A130))^2,"")</f>
        <v/>
      </c>
      <c r="I130" s="48" t="n"/>
    </row>
    <row r="131" ht="15" customHeight="1" s="32">
      <c r="A131" s="41" t="inlineStr">
        <is>
          <t>T9</t>
        </is>
      </c>
      <c r="B131" s="41" t="n">
        <v>26</v>
      </c>
      <c r="C131" s="48" t="n">
        <v>-8</v>
      </c>
      <c r="D131" s="48" t="n">
        <v>-3</v>
      </c>
      <c r="E131" s="50">
        <f>IF(ISNUMBER(C131),AVERAGEIFS($C$26:$C$155,$A$26:$A$155,A131),"")</f>
        <v/>
      </c>
      <c r="F131" s="50">
        <f>IF(ISNUMBER(D131),AVERAGEIFS($D$26:$D$155,$A$26:$A$155,A131),"")</f>
        <v/>
      </c>
      <c r="G131" s="50">
        <f>IF(AND(ISNUMBER(C131),ISNUMBER(D131)),SQRT((C131-E131)^2+(D131-F131)^2),"")</f>
        <v/>
      </c>
      <c r="H131" s="50">
        <f>IF(ISNUMBER(G131),(G131-AVERAGEIFS($G$26:$G$155,$A$26:$A$155,A131))^2,"")</f>
        <v/>
      </c>
      <c r="I131" s="48" t="n"/>
    </row>
    <row r="132" ht="15" customHeight="1" s="32">
      <c r="A132" s="41" t="inlineStr">
        <is>
          <t>T9</t>
        </is>
      </c>
      <c r="B132" s="41" t="n">
        <v>27</v>
      </c>
      <c r="C132" s="48" t="n">
        <v>-8</v>
      </c>
      <c r="D132" s="48" t="n">
        <v>0</v>
      </c>
      <c r="E132" s="50">
        <f>IF(ISNUMBER(C132),AVERAGEIFS($C$26:$C$155,$A$26:$A$155,A132),"")</f>
        <v/>
      </c>
      <c r="F132" s="50">
        <f>IF(ISNUMBER(D132),AVERAGEIFS($D$26:$D$155,$A$26:$A$155,A132),"")</f>
        <v/>
      </c>
      <c r="G132" s="50">
        <f>IF(AND(ISNUMBER(C132),ISNUMBER(D132)),SQRT((C132-E132)^2+(D132-F132)^2),"")</f>
        <v/>
      </c>
      <c r="H132" s="50">
        <f>IF(ISNUMBER(G132),(G132-AVERAGEIFS($G$26:$G$155,$A$26:$A$155,A132))^2,"")</f>
        <v/>
      </c>
      <c r="I132" s="48" t="n"/>
    </row>
    <row r="133" ht="15" customHeight="1" s="32">
      <c r="A133" s="41" t="inlineStr">
        <is>
          <t>T9</t>
        </is>
      </c>
      <c r="B133" s="41" t="n">
        <v>28</v>
      </c>
      <c r="C133" s="48" t="n">
        <v>-8</v>
      </c>
      <c r="D133" s="48" t="n">
        <v>2</v>
      </c>
      <c r="E133" s="50">
        <f>IF(ISNUMBER(C133),AVERAGEIFS($C$26:$C$155,$A$26:$A$155,A133),"")</f>
        <v/>
      </c>
      <c r="F133" s="50">
        <f>IF(ISNUMBER(D133),AVERAGEIFS($D$26:$D$155,$A$26:$A$155,A133),"")</f>
        <v/>
      </c>
      <c r="G133" s="50">
        <f>IF(AND(ISNUMBER(C133),ISNUMBER(D133)),SQRT((C133-E133)^2+(D133-F133)^2),"")</f>
        <v/>
      </c>
      <c r="H133" s="50">
        <f>IF(ISNUMBER(G133),(G133-AVERAGEIFS($G$26:$G$155,$A$26:$A$155,A133))^2,"")</f>
        <v/>
      </c>
      <c r="I133" s="48" t="n"/>
    </row>
    <row r="134" ht="15" customHeight="1" s="32">
      <c r="A134" s="41" t="inlineStr">
        <is>
          <t>T9</t>
        </is>
      </c>
      <c r="B134" s="41" t="n">
        <v>29</v>
      </c>
      <c r="C134" s="48" t="n">
        <v>-8</v>
      </c>
      <c r="D134" s="48" t="n">
        <v>4</v>
      </c>
      <c r="E134" s="50">
        <f>IF(ISNUMBER(C134),AVERAGEIFS($C$26:$C$155,$A$26:$A$155,A134),"")</f>
        <v/>
      </c>
      <c r="F134" s="50">
        <f>IF(ISNUMBER(D134),AVERAGEIFS($D$26:$D$155,$A$26:$A$155,A134),"")</f>
        <v/>
      </c>
      <c r="G134" s="50">
        <f>IF(AND(ISNUMBER(C134),ISNUMBER(D134)),SQRT((C134-E134)^2+(D134-F134)^2),"")</f>
        <v/>
      </c>
      <c r="H134" s="50">
        <f>IF(ISNUMBER(G134),(G134-AVERAGEIFS($G$26:$G$155,$A$26:$A$155,A134))^2,"")</f>
        <v/>
      </c>
      <c r="I134" s="48" t="n"/>
    </row>
    <row r="135" ht="15" customHeight="1" s="32">
      <c r="A135" s="41" t="inlineStr">
        <is>
          <t>T9</t>
        </is>
      </c>
      <c r="B135" s="41" t="n">
        <v>30</v>
      </c>
      <c r="C135" s="48" t="n">
        <v>-9</v>
      </c>
      <c r="D135" s="48" t="n">
        <v>1</v>
      </c>
      <c r="E135" s="50">
        <f>IF(ISNUMBER(C135),AVERAGEIFS($C$26:$C$155,$A$26:$A$155,A135),"")</f>
        <v/>
      </c>
      <c r="F135" s="50">
        <f>IF(ISNUMBER(D135),AVERAGEIFS($D$26:$D$155,$A$26:$A$155,A135),"")</f>
        <v/>
      </c>
      <c r="G135" s="50">
        <f>IF(AND(ISNUMBER(C135),ISNUMBER(D135)),SQRT((C135-E135)^2+(D135-F135)^2),"")</f>
        <v/>
      </c>
      <c r="H135" s="50">
        <f>IF(ISNUMBER(G135),(G135-AVERAGEIFS($G$26:$G$155,$A$26:$A$155,A135))^2,"")</f>
        <v/>
      </c>
      <c r="I135" s="48" t="n"/>
    </row>
    <row r="136" ht="15" customHeight="1" s="32">
      <c r="A136" s="41" t="inlineStr">
        <is>
          <t>T10</t>
        </is>
      </c>
      <c r="B136" s="41" t="n">
        <v>1</v>
      </c>
      <c r="C136" s="48" t="n"/>
      <c r="D136" s="48" t="n"/>
      <c r="E136" s="50">
        <f>IF(ISNUMBER(C136),AVERAGEIFS($C$26:$C$155,$A$26:$A$155,A136),"")</f>
        <v/>
      </c>
      <c r="F136" s="50">
        <f>IF(ISNUMBER(D136),AVERAGEIFS($D$26:$D$155,$A$26:$A$155,A136),"")</f>
        <v/>
      </c>
      <c r="G136" s="50">
        <f>IF(AND(ISNUMBER(C136),ISNUMBER(D136)),SQRT((C136-E136)^2+(D136-F136)^2),"")</f>
        <v/>
      </c>
      <c r="H136" s="50">
        <f>IF(ISNUMBER(G136),(G136-AVERAGEIFS($G$26:$G$155,$A$26:$A$155,A136))^2,"")</f>
        <v/>
      </c>
      <c r="I136" s="48" t="n"/>
    </row>
    <row r="137" ht="15" customHeight="1" s="32">
      <c r="A137" s="41" t="inlineStr">
        <is>
          <t>T10</t>
        </is>
      </c>
      <c r="B137" s="41" t="n">
        <v>2</v>
      </c>
      <c r="C137" s="48" t="n"/>
      <c r="D137" s="48" t="n"/>
      <c r="E137" s="50">
        <f>IF(ISNUMBER(C137),AVERAGEIFS($C$26:$C$155,$A$26:$A$155,A137),"")</f>
        <v/>
      </c>
      <c r="F137" s="50">
        <f>IF(ISNUMBER(D137),AVERAGEIFS($D$26:$D$155,$A$26:$A$155,A137),"")</f>
        <v/>
      </c>
      <c r="G137" s="50">
        <f>IF(AND(ISNUMBER(C137),ISNUMBER(D137)),SQRT((C137-E137)^2+(D137-F137)^2),"")</f>
        <v/>
      </c>
      <c r="H137" s="50">
        <f>IF(ISNUMBER(G137),(G137-AVERAGEIFS($G$26:$G$155,$A$26:$A$155,A137))^2,"")</f>
        <v/>
      </c>
      <c r="I137" s="48" t="n"/>
    </row>
    <row r="138" ht="15" customHeight="1" s="32">
      <c r="A138" s="41" t="inlineStr">
        <is>
          <t>T10</t>
        </is>
      </c>
      <c r="B138" s="41" t="n">
        <v>3</v>
      </c>
      <c r="C138" s="48" t="n"/>
      <c r="D138" s="48" t="n"/>
      <c r="E138" s="50">
        <f>IF(ISNUMBER(C138),AVERAGEIFS($C$26:$C$155,$A$26:$A$155,A138),"")</f>
        <v/>
      </c>
      <c r="F138" s="50">
        <f>IF(ISNUMBER(D138),AVERAGEIFS($D$26:$D$155,$A$26:$A$155,A138),"")</f>
        <v/>
      </c>
      <c r="G138" s="50">
        <f>IF(AND(ISNUMBER(C138),ISNUMBER(D138)),SQRT((C138-E138)^2+(D138-F138)^2),"")</f>
        <v/>
      </c>
      <c r="H138" s="50">
        <f>IF(ISNUMBER(G138),(G138-AVERAGEIFS($G$26:$G$155,$A$26:$A$155,A138))^2,"")</f>
        <v/>
      </c>
      <c r="I138" s="48" t="n"/>
    </row>
    <row r="139" ht="30" customHeight="1" s="32">
      <c r="A139" s="41" t="inlineStr">
        <is>
          <t>T10</t>
        </is>
      </c>
      <c r="B139" s="41" t="n">
        <v>4</v>
      </c>
      <c r="C139" s="48" t="n"/>
      <c r="D139" s="48" t="n"/>
      <c r="E139" s="50">
        <f>IF(ISNUMBER(C139),AVERAGEIFS($C$26:$C$155,$A$26:$A$155,A139),"")</f>
        <v/>
      </c>
      <c r="F139" s="50">
        <f>IF(ISNUMBER(D139),AVERAGEIFS($D$26:$D$155,$A$26:$A$155,A139),"")</f>
        <v/>
      </c>
      <c r="G139" s="50">
        <f>IF(AND(ISNUMBER(C139),ISNUMBER(D139)),SQRT((C139-E139)^2+(D139-F139)^2),"")</f>
        <v/>
      </c>
      <c r="H139" s="50">
        <f>IF(ISNUMBER(G139),(G139-AVERAGEIFS($G$26:$G$155,$A$26:$A$155,A139))^2,"")</f>
        <v/>
      </c>
      <c r="I139" s="48" t="n"/>
    </row>
    <row r="140" ht="15" customHeight="1" s="32">
      <c r="A140" s="41" t="inlineStr">
        <is>
          <t>T10</t>
        </is>
      </c>
      <c r="B140" s="41" t="n">
        <v>5</v>
      </c>
      <c r="C140" s="48" t="n"/>
      <c r="D140" s="48" t="n"/>
      <c r="E140" s="50">
        <f>IF(ISNUMBER(C140),AVERAGEIFS($C$26:$C$155,$A$26:$A$155,A140),"")</f>
        <v/>
      </c>
      <c r="F140" s="50">
        <f>IF(ISNUMBER(D140),AVERAGEIFS($D$26:$D$155,$A$26:$A$155,A140),"")</f>
        <v/>
      </c>
      <c r="G140" s="50">
        <f>IF(AND(ISNUMBER(C140),ISNUMBER(D140)),SQRT((C140-E140)^2+(D140-F140)^2),"")</f>
        <v/>
      </c>
      <c r="H140" s="50">
        <f>IF(ISNUMBER(G140),(G140-AVERAGEIFS($G$26:$G$155,$A$26:$A$155,A140))^2,"")</f>
        <v/>
      </c>
      <c r="I140" s="48" t="n"/>
    </row>
    <row r="141" ht="15" customHeight="1" s="32">
      <c r="A141" s="41" t="inlineStr">
        <is>
          <t>T10</t>
        </is>
      </c>
      <c r="B141" s="41" t="n">
        <v>6</v>
      </c>
      <c r="C141" s="48" t="n"/>
      <c r="D141" s="48" t="n"/>
      <c r="E141" s="50">
        <f>IF(ISNUMBER(C141),AVERAGEIFS($C$26:$C$155,$A$26:$A$155,A141),"")</f>
        <v/>
      </c>
      <c r="F141" s="50">
        <f>IF(ISNUMBER(D141),AVERAGEIFS($D$26:$D$155,$A$26:$A$155,A141),"")</f>
        <v/>
      </c>
      <c r="G141" s="50">
        <f>IF(AND(ISNUMBER(C141),ISNUMBER(D141)),SQRT((C141-E141)^2+(D141-F141)^2),"")</f>
        <v/>
      </c>
      <c r="H141" s="50">
        <f>IF(ISNUMBER(G141),(G141-AVERAGEIFS($G$26:$G$155,$A$26:$A$155,A141))^2,"")</f>
        <v/>
      </c>
      <c r="I141" s="48" t="n"/>
    </row>
    <row r="142" ht="15" customHeight="1" s="32">
      <c r="A142" s="41" t="inlineStr">
        <is>
          <t>T10</t>
        </is>
      </c>
      <c r="B142" s="41" t="n">
        <v>7</v>
      </c>
      <c r="C142" s="48" t="n"/>
      <c r="D142" s="48" t="n"/>
      <c r="E142" s="50">
        <f>IF(ISNUMBER(C142),AVERAGEIFS($C$26:$C$155,$A$26:$A$155,A142),"")</f>
        <v/>
      </c>
      <c r="F142" s="50">
        <f>IF(ISNUMBER(D142),AVERAGEIFS($D$26:$D$155,$A$26:$A$155,A142),"")</f>
        <v/>
      </c>
      <c r="G142" s="50">
        <f>IF(AND(ISNUMBER(C142),ISNUMBER(D142)),SQRT((C142-E142)^2+(D142-F142)^2),"")</f>
        <v/>
      </c>
      <c r="H142" s="50">
        <f>IF(ISNUMBER(G142),(G142-AVERAGEIFS($G$26:$G$155,$A$26:$A$155,A142))^2,"")</f>
        <v/>
      </c>
      <c r="I142" s="48" t="n"/>
    </row>
    <row r="143" ht="15" customHeight="1" s="32">
      <c r="A143" s="41" t="inlineStr">
        <is>
          <t>T10</t>
        </is>
      </c>
      <c r="B143" s="41" t="n">
        <v>8</v>
      </c>
      <c r="C143" s="48" t="n"/>
      <c r="D143" s="48" t="n"/>
      <c r="E143" s="50">
        <f>IF(ISNUMBER(C143),AVERAGEIFS($C$26:$C$155,$A$26:$A$155,A143),"")</f>
        <v/>
      </c>
      <c r="F143" s="50">
        <f>IF(ISNUMBER(D143),AVERAGEIFS($D$26:$D$155,$A$26:$A$155,A143),"")</f>
        <v/>
      </c>
      <c r="G143" s="50">
        <f>IF(AND(ISNUMBER(C143),ISNUMBER(D143)),SQRT((C143-E143)^2+(D143-F143)^2),"")</f>
        <v/>
      </c>
      <c r="H143" s="50">
        <f>IF(ISNUMBER(G143),(G143-AVERAGEIFS($G$26:$G$155,$A$26:$A$155,A143))^2,"")</f>
        <v/>
      </c>
      <c r="I143" s="48" t="n"/>
    </row>
    <row r="144" ht="15" customHeight="1" s="32">
      <c r="A144" s="41" t="inlineStr">
        <is>
          <t>T10</t>
        </is>
      </c>
      <c r="B144" s="41" t="n">
        <v>9</v>
      </c>
      <c r="C144" s="48" t="n"/>
      <c r="D144" s="48" t="n"/>
      <c r="E144" s="50">
        <f>IF(ISNUMBER(C144),AVERAGEIFS($C$26:$C$155,$A$26:$A$155,A144),"")</f>
        <v/>
      </c>
      <c r="F144" s="50">
        <f>IF(ISNUMBER(D144),AVERAGEIFS($D$26:$D$155,$A$26:$A$155,A144),"")</f>
        <v/>
      </c>
      <c r="G144" s="50">
        <f>IF(AND(ISNUMBER(C144),ISNUMBER(D144)),SQRT((C144-E144)^2+(D144-F144)^2),"")</f>
        <v/>
      </c>
      <c r="H144" s="50">
        <f>IF(ISNUMBER(G144),(G144-AVERAGEIFS($G$26:$G$155,$A$26:$A$155,A144))^2,"")</f>
        <v/>
      </c>
      <c r="I144" s="48" t="n"/>
    </row>
    <row r="145" ht="15" customHeight="1" s="32">
      <c r="A145" s="41" t="inlineStr">
        <is>
          <t>T10</t>
        </is>
      </c>
      <c r="B145" s="41" t="n">
        <v>10</v>
      </c>
      <c r="C145" s="48" t="n"/>
      <c r="D145" s="48" t="n"/>
      <c r="E145" s="50">
        <f>IF(ISNUMBER(C145),AVERAGEIFS($C$26:$C$155,$A$26:$A$155,A145),"")</f>
        <v/>
      </c>
      <c r="F145" s="50">
        <f>IF(ISNUMBER(D145),AVERAGEIFS($D$26:$D$155,$A$26:$A$155,A145),"")</f>
        <v/>
      </c>
      <c r="G145" s="50">
        <f>IF(AND(ISNUMBER(C145),ISNUMBER(D145)),SQRT((C145-E145)^2+(D145-F145)^2),"")</f>
        <v/>
      </c>
      <c r="H145" s="50">
        <f>IF(ISNUMBER(G145),(G145-AVERAGEIFS($G$26:$G$155,$A$26:$A$155,A145))^2,"")</f>
        <v/>
      </c>
      <c r="I145" s="48" t="n"/>
    </row>
    <row r="146" ht="15" customHeight="1" s="32">
      <c r="A146" s="41" t="inlineStr">
        <is>
          <t>T11</t>
        </is>
      </c>
      <c r="B146" s="41" t="n">
        <v>1</v>
      </c>
      <c r="C146" s="48" t="n"/>
      <c r="D146" s="48" t="n"/>
      <c r="E146" s="50">
        <f>IF(ISNUMBER(C146),AVERAGEIFS($C$26:$C$155,$A$26:$A$155,A146),"")</f>
        <v/>
      </c>
      <c r="F146" s="50">
        <f>IF(ISNUMBER(D146),AVERAGEIFS($D$26:$D$155,$A$26:$A$155,A146),"")</f>
        <v/>
      </c>
      <c r="G146" s="50">
        <f>IF(AND(ISNUMBER(C146),ISNUMBER(D146)),SQRT((C146-E146)^2+(D146-F146)^2),"")</f>
        <v/>
      </c>
      <c r="H146" s="50">
        <f>IF(ISNUMBER(G146),(G146-AVERAGEIFS($G$26:$G$155,$A$26:$A$155,A146))^2,"")</f>
        <v/>
      </c>
      <c r="I146" s="48" t="n"/>
    </row>
    <row r="147" ht="15" customHeight="1" s="32">
      <c r="A147" s="41" t="inlineStr">
        <is>
          <t>T11</t>
        </is>
      </c>
      <c r="B147" s="41" t="n">
        <v>2</v>
      </c>
      <c r="C147" s="48" t="n"/>
      <c r="D147" s="48" t="n"/>
      <c r="E147" s="50">
        <f>IF(ISNUMBER(C147),AVERAGEIFS($C$26:$C$155,$A$26:$A$155,A147),"")</f>
        <v/>
      </c>
      <c r="F147" s="50">
        <f>IF(ISNUMBER(D147),AVERAGEIFS($D$26:$D$155,$A$26:$A$155,A147),"")</f>
        <v/>
      </c>
      <c r="G147" s="50">
        <f>IF(AND(ISNUMBER(C147),ISNUMBER(D147)),SQRT((C147-E147)^2+(D147-F147)^2),"")</f>
        <v/>
      </c>
      <c r="H147" s="50">
        <f>IF(ISNUMBER(G147),(G147-AVERAGEIFS($G$26:$G$155,$A$26:$A$155,A147))^2,"")</f>
        <v/>
      </c>
      <c r="I147" s="48" t="n"/>
    </row>
    <row r="148" ht="15" customHeight="1" s="32">
      <c r="A148" s="41" t="inlineStr">
        <is>
          <t>T11</t>
        </is>
      </c>
      <c r="B148" s="41" t="n">
        <v>3</v>
      </c>
      <c r="C148" s="48" t="n"/>
      <c r="D148" s="48" t="n"/>
      <c r="E148" s="50">
        <f>IF(ISNUMBER(C148),AVERAGEIFS($C$26:$C$155,$A$26:$A$155,A148),"")</f>
        <v/>
      </c>
      <c r="F148" s="50">
        <f>IF(ISNUMBER(D148),AVERAGEIFS($D$26:$D$155,$A$26:$A$155,A148),"")</f>
        <v/>
      </c>
      <c r="G148" s="50">
        <f>IF(AND(ISNUMBER(C148),ISNUMBER(D148)),SQRT((C148-E148)^2+(D148-F148)^2),"")</f>
        <v/>
      </c>
      <c r="H148" s="50">
        <f>IF(ISNUMBER(G148),(G148-AVERAGEIFS($G$26:$G$155,$A$26:$A$155,A148))^2,"")</f>
        <v/>
      </c>
      <c r="I148" s="48" t="n"/>
    </row>
    <row r="149" ht="15" customHeight="1" s="32">
      <c r="A149" s="41" t="inlineStr">
        <is>
          <t>T11</t>
        </is>
      </c>
      <c r="B149" s="41" t="n">
        <v>4</v>
      </c>
      <c r="C149" s="48" t="n"/>
      <c r="D149" s="48" t="n"/>
      <c r="E149" s="50">
        <f>IF(ISNUMBER(C149),AVERAGEIFS($C$26:$C$155,$A$26:$A$155,A149),"")</f>
        <v/>
      </c>
      <c r="F149" s="50">
        <f>IF(ISNUMBER(D149),AVERAGEIFS($D$26:$D$155,$A$26:$A$155,A149),"")</f>
        <v/>
      </c>
      <c r="G149" s="50">
        <f>IF(AND(ISNUMBER(C149),ISNUMBER(D149)),SQRT((C149-E149)^2+(D149-F149)^2),"")</f>
        <v/>
      </c>
      <c r="H149" s="50">
        <f>IF(ISNUMBER(G149),(G149-AVERAGEIFS($G$26:$G$155,$A$26:$A$155,A149))^2,"")</f>
        <v/>
      </c>
      <c r="I149" s="48" t="n"/>
    </row>
    <row r="150" ht="15" customHeight="1" s="32">
      <c r="A150" s="41" t="inlineStr">
        <is>
          <t>T11</t>
        </is>
      </c>
      <c r="B150" s="41" t="n">
        <v>5</v>
      </c>
      <c r="C150" s="48" t="n"/>
      <c r="D150" s="48" t="n"/>
      <c r="E150" s="50">
        <f>IF(ISNUMBER(C150),AVERAGEIFS($C$26:$C$155,$A$26:$A$155,A150),"")</f>
        <v/>
      </c>
      <c r="F150" s="50">
        <f>IF(ISNUMBER(D150),AVERAGEIFS($D$26:$D$155,$A$26:$A$155,A150),"")</f>
        <v/>
      </c>
      <c r="G150" s="50">
        <f>IF(AND(ISNUMBER(C150),ISNUMBER(D150)),SQRT((C150-E150)^2+(D150-F150)^2),"")</f>
        <v/>
      </c>
      <c r="H150" s="50">
        <f>IF(ISNUMBER(G150),(G150-AVERAGEIFS($G$26:$G$155,$A$26:$A$155,A150))^2,"")</f>
        <v/>
      </c>
      <c r="I150" s="48" t="n"/>
    </row>
    <row r="151" ht="15" customHeight="1" s="32">
      <c r="A151" s="41" t="inlineStr">
        <is>
          <t>T11</t>
        </is>
      </c>
      <c r="B151" s="41" t="n">
        <v>6</v>
      </c>
      <c r="C151" s="48" t="n"/>
      <c r="D151" s="48" t="n"/>
      <c r="E151" s="50">
        <f>IF(ISNUMBER(C151),AVERAGEIFS($C$26:$C$155,$A$26:$A$155,A151),"")</f>
        <v/>
      </c>
      <c r="F151" s="50">
        <f>IF(ISNUMBER(D151),AVERAGEIFS($D$26:$D$155,$A$26:$A$155,A151),"")</f>
        <v/>
      </c>
      <c r="G151" s="50">
        <f>IF(AND(ISNUMBER(C151),ISNUMBER(D151)),SQRT((C151-E151)^2+(D151-F151)^2),"")</f>
        <v/>
      </c>
      <c r="H151" s="50">
        <f>IF(ISNUMBER(G151),(G151-AVERAGEIFS($G$26:$G$155,$A$26:$A$155,A151))^2,"")</f>
        <v/>
      </c>
      <c r="I151" s="48" t="n"/>
    </row>
    <row r="152" ht="15" customHeight="1" s="32">
      <c r="A152" s="41" t="inlineStr">
        <is>
          <t>T11</t>
        </is>
      </c>
      <c r="B152" s="41" t="n">
        <v>7</v>
      </c>
      <c r="C152" s="48" t="n"/>
      <c r="D152" s="48" t="n"/>
      <c r="E152" s="50">
        <f>IF(ISNUMBER(C152),AVERAGEIFS($C$26:$C$155,$A$26:$A$155,A152),"")</f>
        <v/>
      </c>
      <c r="F152" s="50">
        <f>IF(ISNUMBER(D152),AVERAGEIFS($D$26:$D$155,$A$26:$A$155,A152),"")</f>
        <v/>
      </c>
      <c r="G152" s="50">
        <f>IF(AND(ISNUMBER(C152),ISNUMBER(D152)),SQRT((C152-E152)^2+(D152-F152)^2),"")</f>
        <v/>
      </c>
      <c r="H152" s="50">
        <f>IF(ISNUMBER(G152),(G152-AVERAGEIFS($G$26:$G$155,$A$26:$A$155,A152))^2,"")</f>
        <v/>
      </c>
      <c r="I152" s="48" t="n"/>
    </row>
    <row r="153" ht="15" customHeight="1" s="32">
      <c r="A153" s="41" t="inlineStr">
        <is>
          <t>T11</t>
        </is>
      </c>
      <c r="B153" s="41" t="n">
        <v>8</v>
      </c>
      <c r="C153" s="48" t="n"/>
      <c r="D153" s="48" t="n"/>
      <c r="E153" s="50">
        <f>IF(ISNUMBER(C153),AVERAGEIFS($C$26:$C$155,$A$26:$A$155,A153),"")</f>
        <v/>
      </c>
      <c r="F153" s="50">
        <f>IF(ISNUMBER(D153),AVERAGEIFS($D$26:$D$155,$A$26:$A$155,A153),"")</f>
        <v/>
      </c>
      <c r="G153" s="50">
        <f>IF(AND(ISNUMBER(C153),ISNUMBER(D153)),SQRT((C153-E153)^2+(D153-F153)^2),"")</f>
        <v/>
      </c>
      <c r="H153" s="50">
        <f>IF(ISNUMBER(G153),(G153-AVERAGEIFS($G$26:$G$155,$A$26:$A$155,A153))^2,"")</f>
        <v/>
      </c>
      <c r="I153" s="48" t="n"/>
    </row>
    <row r="154" ht="15" customHeight="1" s="32">
      <c r="A154" s="41" t="inlineStr">
        <is>
          <t>T11</t>
        </is>
      </c>
      <c r="B154" s="41" t="n">
        <v>9</v>
      </c>
      <c r="C154" s="48" t="n"/>
      <c r="D154" s="48" t="n"/>
      <c r="E154" s="50">
        <f>IF(ISNUMBER(C154),AVERAGEIFS($C$26:$C$155,$A$26:$A$155,A154),"")</f>
        <v/>
      </c>
      <c r="F154" s="50">
        <f>IF(ISNUMBER(D154),AVERAGEIFS($D$26:$D$155,$A$26:$A$155,A154),"")</f>
        <v/>
      </c>
      <c r="G154" s="50">
        <f>IF(AND(ISNUMBER(C154),ISNUMBER(D154)),SQRT((C154-E154)^2+(D154-F154)^2),"")</f>
        <v/>
      </c>
      <c r="H154" s="50">
        <f>IF(ISNUMBER(G154),(G154-AVERAGEIFS($G$26:$G$155,$A$26:$A$155,A154))^2,"")</f>
        <v/>
      </c>
      <c r="I154" s="48" t="n"/>
    </row>
    <row r="155" ht="15" customHeight="1" s="32">
      <c r="A155" s="41" t="inlineStr">
        <is>
          <t>T11</t>
        </is>
      </c>
      <c r="B155" s="41" t="n">
        <v>10</v>
      </c>
      <c r="C155" s="48" t="n"/>
      <c r="D155" s="48" t="n"/>
      <c r="E155" s="50">
        <f>IF(ISNUMBER(C155),AVERAGEIFS($C$26:$C$155,$A$26:$A$155,A155),"")</f>
        <v/>
      </c>
      <c r="F155" s="50">
        <f>IF(ISNUMBER(D155),AVERAGEIFS($D$26:$D$155,$A$26:$A$155,A155),"")</f>
        <v/>
      </c>
      <c r="G155" s="50">
        <f>IF(AND(ISNUMBER(C155),ISNUMBER(D155)),SQRT((C155-E155)^2+(D155-F155)^2),"")</f>
        <v/>
      </c>
      <c r="H155" s="50">
        <f>IF(ISNUMBER(G155),(G155-AVERAGEIFS($G$26:$G$155,$A$26:$A$155,A155))^2,"")</f>
        <v/>
      </c>
      <c r="I155" s="48" t="n"/>
    </row>
    <row r="157" ht="15" customHeight="1" s="32">
      <c r="A157" s="38" t="inlineStr">
        <is>
          <t>Summary</t>
        </is>
      </c>
    </row>
    <row r="158" ht="23.25" customHeight="1" s="32">
      <c r="A158" s="35" t="inlineStr">
        <is>
          <t>Target</t>
        </is>
      </c>
      <c r="B158" s="35" t="inlineStr">
        <is>
          <t>n</t>
        </is>
      </c>
      <c r="C158" s="35" t="inlineStr">
        <is>
          <t>Mean radial (mm)</t>
        </is>
      </c>
      <c r="D158" s="35" t="inlineStr">
        <is>
          <t>Mean lateral (mm)</t>
        </is>
      </c>
      <c r="E158" s="35" t="inlineStr">
        <is>
          <t>Accuracy (mm)</t>
        </is>
      </c>
      <c r="F158" s="35" t="inlineStr">
        <is>
          <t>Mean l (mm)</t>
        </is>
      </c>
      <c r="G158" s="35" t="inlineStr">
        <is>
          <t>Std l (mm)</t>
        </is>
      </c>
      <c r="H158" s="35" t="inlineStr">
        <is>
          <t>Repeatability (mm)</t>
        </is>
      </c>
      <c r="I158" s="35" t="inlineStr">
        <is>
          <t>Result</t>
        </is>
      </c>
    </row>
    <row r="159" ht="15" customHeight="1" s="32">
      <c r="A159" s="41" t="inlineStr">
        <is>
          <t>T1</t>
        </is>
      </c>
      <c r="B159" s="41">
        <f>COUNTIFS($A$26:$A$155,"T1",$G$26:$G$155,"&gt;=0")</f>
        <v/>
      </c>
      <c r="C159" s="41">
        <f>IF(B159=0,"",AVERAGEIFS($C$26:$C$155,$A$26:$A$155,"T1"))</f>
        <v/>
      </c>
      <c r="D159" s="41">
        <f>IF(B159=0,"",AVERAGEIFS($D$26:$D$155,$A$26:$A$155,"T1"))</f>
        <v/>
      </c>
      <c r="E159" s="41">
        <f>IF(B159=0,"",SQRT(C159^2+D159^2))</f>
        <v/>
      </c>
      <c r="F159" s="41">
        <f>IF(B159=0,"",AVERAGEIFS($G$26:$G$155,$A$26:$A$155,"T1"))</f>
        <v/>
      </c>
      <c r="G159" s="41">
        <f>IF(B159&lt;2,"",SQRT(SUMIFS($H$26:$H$155,$A$26:$A$155,"T1")/(B159-1)))</f>
        <v/>
      </c>
      <c r="H159" s="41">
        <f>IF(B159&lt;2,"",F159+3*G159)</f>
        <v/>
      </c>
      <c r="I159" s="53">
        <f>IF(B159&lt;9,"not done",IF(E159&lt;=10,"PASS","FAIL"))</f>
        <v/>
      </c>
    </row>
    <row r="160" ht="15" customHeight="1" s="32">
      <c r="A160" s="41" t="inlineStr">
        <is>
          <t>T2</t>
        </is>
      </c>
      <c r="B160" s="41">
        <f>COUNTIFS($A$26:$A$155,"T2",$G$26:$G$155,"&gt;=0")</f>
        <v/>
      </c>
      <c r="C160" s="41">
        <f>IF(B160=0,"",AVERAGEIFS($C$26:$C$155,$A$26:$A$155,"T2"))</f>
        <v/>
      </c>
      <c r="D160" s="41">
        <f>IF(B160=0,"",AVERAGEIFS($D$26:$D$155,$A$26:$A$155,"T2"))</f>
        <v/>
      </c>
      <c r="E160" s="41">
        <f>IF(B160=0,"",SQRT(C160^2+D160^2))</f>
        <v/>
      </c>
      <c r="F160" s="41">
        <f>IF(B160=0,"",AVERAGEIFS($G$26:$G$155,$A$26:$A$155,"T2"))</f>
        <v/>
      </c>
      <c r="G160" s="41">
        <f>IF(B160&lt;2,"",SQRT(SUMIFS($H$26:$H$155,$A$26:$A$155,"T2")/(B160-1)))</f>
        <v/>
      </c>
      <c r="H160" s="41">
        <f>IF(B160&lt;2,"",F160+3*G160)</f>
        <v/>
      </c>
      <c r="I160" s="53">
        <f>IF(B160&lt;9,"not done",IF(E160&lt;=10,"PASS","FAIL"))</f>
        <v/>
      </c>
    </row>
    <row r="161" ht="15" customHeight="1" s="32">
      <c r="A161" s="41" t="inlineStr">
        <is>
          <t>T3</t>
        </is>
      </c>
      <c r="B161" s="41">
        <f>COUNTIFS($A$26:$A$155,"T3",$G$26:$G$155,"&gt;=0")</f>
        <v/>
      </c>
      <c r="C161" s="41">
        <f>IF(B161=0,"",AVERAGEIFS($C$26:$C$155,$A$26:$A$155,"T3"))</f>
        <v/>
      </c>
      <c r="D161" s="41">
        <f>IF(B161=0,"",AVERAGEIFS($D$26:$D$155,$A$26:$A$155,"T3"))</f>
        <v/>
      </c>
      <c r="E161" s="41">
        <f>IF(B161=0,"",SQRT(C161^2+D161^2))</f>
        <v/>
      </c>
      <c r="F161" s="41">
        <f>IF(B161=0,"",AVERAGEIFS($G$26:$G$155,$A$26:$A$155,"T3"))</f>
        <v/>
      </c>
      <c r="G161" s="41">
        <f>IF(B161&lt;2,"",SQRT(SUMIFS($H$26:$H$155,$A$26:$A$155,"T3")/(B161-1)))</f>
        <v/>
      </c>
      <c r="H161" s="41">
        <f>IF(B161&lt;2,"",F161+3*G161)</f>
        <v/>
      </c>
      <c r="I161" s="53">
        <f>IF(B161&lt;9,"not done",IF(E161&lt;=10,"PASS","FAIL"))</f>
        <v/>
      </c>
    </row>
    <row r="162" ht="15" customHeight="1" s="32">
      <c r="A162" s="41" t="inlineStr">
        <is>
          <t>T4</t>
        </is>
      </c>
      <c r="B162" s="41">
        <f>COUNTIFS($A$26:$A$155,"T4",$G$26:$G$155,"&gt;=0")</f>
        <v/>
      </c>
      <c r="C162" s="41">
        <f>IF(B162=0,"",AVERAGEIFS($C$26:$C$155,$A$26:$A$155,"T4"))</f>
        <v/>
      </c>
      <c r="D162" s="41">
        <f>IF(B162=0,"",AVERAGEIFS($D$26:$D$155,$A$26:$A$155,"T4"))</f>
        <v/>
      </c>
      <c r="E162" s="41">
        <f>IF(B162=0,"",SQRT(C162^2+D162^2))</f>
        <v/>
      </c>
      <c r="F162" s="41">
        <f>IF(B162=0,"",AVERAGEIFS($G$26:$G$155,$A$26:$A$155,"T4"))</f>
        <v/>
      </c>
      <c r="G162" s="41">
        <f>IF(B162&lt;2,"",SQRT(SUMIFS($H$26:$H$155,$A$26:$A$155,"T4")/(B162-1)))</f>
        <v/>
      </c>
      <c r="H162" s="41">
        <f>IF(B162&lt;2,"",F162+3*G162)</f>
        <v/>
      </c>
      <c r="I162" s="53">
        <f>IF(B162&lt;9,"not done",IF(E162&lt;=10,"PASS","FAIL"))</f>
        <v/>
      </c>
    </row>
    <row r="163" ht="15" customHeight="1" s="32">
      <c r="A163" s="41" t="inlineStr">
        <is>
          <t>T5</t>
        </is>
      </c>
      <c r="B163" s="41">
        <f>COUNTIFS($A$26:$A$155,"T5",$G$26:$G$155,"&gt;=0")</f>
        <v/>
      </c>
      <c r="C163" s="41">
        <f>IF(B163=0,"",AVERAGEIFS($C$26:$C$155,$A$26:$A$155,"T5"))</f>
        <v/>
      </c>
      <c r="D163" s="41">
        <f>IF(B163=0,"",AVERAGEIFS($D$26:$D$155,$A$26:$A$155,"T5"))</f>
        <v/>
      </c>
      <c r="E163" s="41">
        <f>IF(B163=0,"",SQRT(C163^2+D163^2))</f>
        <v/>
      </c>
      <c r="F163" s="41">
        <f>IF(B163=0,"",AVERAGEIFS($G$26:$G$155,$A$26:$A$155,"T5"))</f>
        <v/>
      </c>
      <c r="G163" s="41">
        <f>IF(B163&lt;2,"",SQRT(SUMIFS($H$26:$H$155,$A$26:$A$155,"T5")/(B163-1)))</f>
        <v/>
      </c>
      <c r="H163" s="41">
        <f>IF(B163&lt;2,"",F163+3*G163)</f>
        <v/>
      </c>
      <c r="I163" s="53">
        <f>IF(B163&lt;9,"not done",IF(E163&lt;=10,"PASS","FAIL"))</f>
        <v/>
      </c>
    </row>
    <row r="164" ht="15" customHeight="1" s="32">
      <c r="A164" s="41" t="inlineStr">
        <is>
          <t>T6</t>
        </is>
      </c>
      <c r="B164" s="41">
        <f>COUNTIFS($A$26:$A$155,"T6",$G$26:$G$155,"&gt;=0")</f>
        <v/>
      </c>
      <c r="C164" s="41">
        <f>IF(B164=0,"",AVERAGEIFS($C$26:$C$155,$A$26:$A$155,"T6"))</f>
        <v/>
      </c>
      <c r="D164" s="41">
        <f>IF(B164=0,"",AVERAGEIFS($D$26:$D$155,$A$26:$A$155,"T6"))</f>
        <v/>
      </c>
      <c r="E164" s="41">
        <f>IF(B164=0,"",SQRT(C164^2+D164^2))</f>
        <v/>
      </c>
      <c r="F164" s="41">
        <f>IF(B164=0,"",AVERAGEIFS($G$26:$G$155,$A$26:$A$155,"T6"))</f>
        <v/>
      </c>
      <c r="G164" s="41">
        <f>IF(B164&lt;2,"",SQRT(SUMIFS($H$26:$H$155,$A$26:$A$155,"T6")/(B164-1)))</f>
        <v/>
      </c>
      <c r="H164" s="41">
        <f>IF(B164&lt;2,"",F164+3*G164)</f>
        <v/>
      </c>
      <c r="I164" s="53">
        <f>IF(B164&lt;9,"not done",IF(E164&lt;=10,"PASS","FAIL"))</f>
        <v/>
      </c>
    </row>
    <row r="165" ht="15" customHeight="1" s="32">
      <c r="A165" s="41" t="inlineStr">
        <is>
          <t>T7</t>
        </is>
      </c>
      <c r="B165" s="41">
        <f>COUNTIFS($A$26:$A$155,"T7",$G$26:$G$155,"&gt;=0")</f>
        <v/>
      </c>
      <c r="C165" s="41">
        <f>IF(B165=0,"",AVERAGEIFS($C$26:$C$155,$A$26:$A$155,"T7"))</f>
        <v/>
      </c>
      <c r="D165" s="41">
        <f>IF(B165=0,"",AVERAGEIFS($D$26:$D$155,$A$26:$A$155,"T7"))</f>
        <v/>
      </c>
      <c r="E165" s="41">
        <f>IF(B165=0,"",SQRT(C165^2+D165^2))</f>
        <v/>
      </c>
      <c r="F165" s="41">
        <f>IF(B165=0,"",AVERAGEIFS($G$26:$G$155,$A$26:$A$155,"T7"))</f>
        <v/>
      </c>
      <c r="G165" s="41">
        <f>IF(B165&lt;2,"",SQRT(SUMIFS($H$26:$H$155,$A$26:$A$155,"T7")/(B165-1)))</f>
        <v/>
      </c>
      <c r="H165" s="41">
        <f>IF(B165&lt;2,"",F165+3*G165)</f>
        <v/>
      </c>
      <c r="I165" s="53">
        <f>IF(B165&lt;9,"not done",IF(E165&lt;=10,"PASS","FAIL"))</f>
        <v/>
      </c>
    </row>
    <row r="166" ht="15" customHeight="1" s="32">
      <c r="A166" s="41" t="inlineStr">
        <is>
          <t>T8</t>
        </is>
      </c>
      <c r="B166" s="41">
        <f>COUNTIFS($A$26:$A$155,"T8",$G$26:$G$155,"&gt;=0")</f>
        <v/>
      </c>
      <c r="C166" s="41">
        <f>IF(B166=0,"",AVERAGEIFS($C$26:$C$155,$A$26:$A$155,"T8"))</f>
        <v/>
      </c>
      <c r="D166" s="41">
        <f>IF(B166=0,"",AVERAGEIFS($D$26:$D$155,$A$26:$A$155,"T8"))</f>
        <v/>
      </c>
      <c r="E166" s="41">
        <f>IF(B166=0,"",SQRT(C166^2+D166^2))</f>
        <v/>
      </c>
      <c r="F166" s="41">
        <f>IF(B166=0,"",AVERAGEIFS($G$26:$G$155,$A$26:$A$155,"T8"))</f>
        <v/>
      </c>
      <c r="G166" s="41">
        <f>IF(B166&lt;2,"",SQRT(SUMIFS($H$26:$H$155,$A$26:$A$155,"T8")/(B166-1)))</f>
        <v/>
      </c>
      <c r="H166" s="41">
        <f>IF(B166&lt;2,"",F166+3*G166)</f>
        <v/>
      </c>
      <c r="I166" s="53">
        <f>IF(B166&lt;9,"not done",IF(E166&lt;=10,"PASS","FAIL"))</f>
        <v/>
      </c>
    </row>
    <row r="167" ht="15" customHeight="1" s="32">
      <c r="A167" s="41" t="inlineStr">
        <is>
          <t>T9</t>
        </is>
      </c>
      <c r="B167" s="41">
        <f>COUNTIFS($A$26:$A$155,"T9",$G$26:$G$155,"&gt;=0")</f>
        <v/>
      </c>
      <c r="C167" s="41">
        <f>IF(B167=0,"",AVERAGEIFS($C$26:$C$155,$A$26:$A$155,"T9"))</f>
        <v/>
      </c>
      <c r="D167" s="41">
        <f>IF(B167=0,"",AVERAGEIFS($D$26:$D$155,$A$26:$A$155,"T9"))</f>
        <v/>
      </c>
      <c r="E167" s="41">
        <f>IF(B167=0,"",SQRT(C167^2+D167^2))</f>
        <v/>
      </c>
      <c r="F167" s="41">
        <f>IF(B167=0,"",AVERAGEIFS($G$26:$G$155,$A$26:$A$155,"T9"))</f>
        <v/>
      </c>
      <c r="G167" s="41">
        <f>IF(B167&lt;2,"",SQRT(SUMIFS($H$26:$H$155,$A$26:$A$155,"T9")/(B167-1)))</f>
        <v/>
      </c>
      <c r="H167" s="41">
        <f>IF(B167&lt;2,"",F167+3*G167)</f>
        <v/>
      </c>
      <c r="I167" s="53">
        <f>IF(B167&lt;9,"not done",IF(E167&lt;=10,"PASS","FAIL"))</f>
        <v/>
      </c>
    </row>
    <row r="168" ht="15" customHeight="1" s="32">
      <c r="A168" s="41" t="inlineStr">
        <is>
          <t>T10</t>
        </is>
      </c>
      <c r="B168" s="41">
        <f>COUNTIFS($A$26:$A$155,"T10",$G$26:$G$155,"&gt;=0")</f>
        <v/>
      </c>
      <c r="C168" s="41">
        <f>IF(B168=0,"",AVERAGEIFS($C$26:$C$155,$A$26:$A$155,"T10"))</f>
        <v/>
      </c>
      <c r="D168" s="41">
        <f>IF(B168=0,"",AVERAGEIFS($D$26:$D$155,$A$26:$A$155,"T10"))</f>
        <v/>
      </c>
      <c r="E168" s="41">
        <f>IF(B168=0,"",SQRT(C168^2+D168^2))</f>
        <v/>
      </c>
      <c r="F168" s="41">
        <f>IF(B168=0,"",AVERAGEIFS($G$26:$G$155,$A$26:$A$155,"T10"))</f>
        <v/>
      </c>
      <c r="G168" s="41">
        <f>IF(B168&lt;2,"",SQRT(SUMIFS($H$26:$H$155,$A$26:$A$155,"T10")/(B168-1)))</f>
        <v/>
      </c>
      <c r="H168" s="41">
        <f>IF(B168&lt;2,"",F168+3*G168)</f>
        <v/>
      </c>
      <c r="I168" s="53">
        <f>IF(B168&lt;9,"not done",IF(E168&lt;=10,"PASS","FAIL"))</f>
        <v/>
      </c>
    </row>
    <row r="169" ht="15" customHeight="1" s="32">
      <c r="A169" s="41" t="inlineStr">
        <is>
          <t>T11</t>
        </is>
      </c>
      <c r="B169" s="41">
        <f>COUNTIFS($A$26:$A$155,"T11",$G$26:$G$155,"&gt;=0")</f>
        <v/>
      </c>
      <c r="C169" s="41">
        <f>IF(B169=0,"",AVERAGEIFS($C$26:$C$155,$A$26:$A$155,"T11"))</f>
        <v/>
      </c>
      <c r="D169" s="41">
        <f>IF(B169=0,"",AVERAGEIFS($D$26:$D$155,$A$26:$A$155,"T11"))</f>
        <v/>
      </c>
      <c r="E169" s="41">
        <f>IF(B169=0,"",SQRT(C169^2+D169^2))</f>
        <v/>
      </c>
      <c r="F169" s="41">
        <f>IF(B169=0,"",AVERAGEIFS($G$26:$G$155,$A$26:$A$155,"T11"))</f>
        <v/>
      </c>
      <c r="G169" s="41">
        <f>IF(B169&lt;2,"",SQRT(SUMIFS($H$26:$H$155,$A$26:$A$155,"T11")/(B169-1)))</f>
        <v/>
      </c>
      <c r="H169" s="41">
        <f>IF(B169&lt;2,"",F169+3*G169)</f>
        <v/>
      </c>
      <c r="I169" s="53">
        <f>IF(B169&lt;9,"not done",IF(E169&lt;=10,"PASS","FAIL"))</f>
        <v/>
      </c>
    </row>
    <row r="170" ht="15" customHeight="1" s="32">
      <c r="A170" s="41" t="inlineStr">
        <is>
          <t>All (T1–T9)</t>
        </is>
      </c>
      <c r="E170" s="41">
        <f>IF(COUNT(E159:E167)=0,"",MAX(E159:E167))</f>
        <v/>
      </c>
      <c r="H170" s="41">
        <f>IF(COUNT(H159:H167)=0,"",MAX(H159:H167))</f>
        <v/>
      </c>
      <c r="I170" s="53">
        <f>IF(COUNTIF(I159:I167,"not done")&gt;0,"not done",IF(COUNTIF(I159:I167,"FAIL")&gt;0,"FAIL","PASS"))</f>
        <v/>
      </c>
    </row>
    <row r="171" ht="15" customHeight="1" s="32">
      <c r="A171" s="34" t="inlineStr">
        <is>
          <t>"All" covers T1–T9 at 0 g (worst accuracy and worst repeatability). T10 and T11 (500 g) are reported separately to show the sag under load.</t>
        </is>
      </c>
    </row>
    <row r="172" ht="15" customHeight="1" s="32">
      <c r="A172" s="34" t="inlineStr">
        <is>
          <t>Measured 13 Oct 2026. Pen tip as tool point (185 mm from the wrist axis), gripper taped around the pen holder, targets commanded as joint angles (W command), each approach home → 50–70 mm above → target, tip hovering 6 mm above the mat. Readings to the nearest 1 mm by eye.</t>
        </is>
      </c>
    </row>
  </sheetData>
  <mergeCells count="5">
    <mergeCell ref="A5:J5"/>
    <mergeCell ref="A8:J8"/>
    <mergeCell ref="A6:J6"/>
    <mergeCell ref="A4:J4"/>
    <mergeCell ref="A7:J7"/>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G5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31" min="1" max="1"/>
    <col width="8" customWidth="1" style="31" min="2" max="2"/>
    <col width="14" customWidth="1" style="31" min="3" max="3"/>
    <col width="16" customWidth="1" style="31" min="4" max="5"/>
    <col width="14" customWidth="1" style="31" min="6" max="6"/>
    <col width="30" customWidth="1" style="31" min="7" max="7"/>
  </cols>
  <sheetData>
    <row r="1" ht="17.25" customHeight="1" s="32">
      <c r="A1" s="33" t="inlineStr">
        <is>
          <t>8.7 Pick-and-place cycles (R13; also R1, R3, R14)</t>
        </is>
      </c>
    </row>
    <row r="2" ht="15" customHeight="1" s="32">
      <c r="A2" s="34" t="inlineStr">
        <is>
          <t>Saved JSON sequence in sequence mode, cycle times from the GUI cycle report.</t>
        </is>
      </c>
    </row>
    <row r="4" ht="30" customHeight="1" s="32">
      <c r="A4" s="45" t="inlineStr">
        <is>
          <t>Setup: pick spot ≥ 300 mm from the base axis (R1), place spot at another base angle (both beyond ±25° of base home). Mark both on the mat. Wait times at pick and place ≥ 2 s (base settling).</t>
        </is>
      </c>
    </row>
    <row r="5" ht="30" customHeight="1" s="32">
      <c r="A5" s="45" t="inlineStr">
        <is>
          <t>Success: the cube is picked, carried and released upright within the tolerance below of the place mark. Decide the tolerance before starting.</t>
        </is>
      </c>
    </row>
    <row r="6" ht="15" customHeight="1" s="32">
      <c r="A6" s="45" t="inlineStr">
        <is>
          <t>Runs: 10 cycles with 50 g, 10 with 500 g. Film them. Export the GUI data after each set.</t>
        </is>
      </c>
    </row>
    <row r="7" ht="15" customHeight="1" s="32">
      <c r="A7" s="45" t="inlineStr">
        <is>
          <t>Pass: at least 9 of 10 successful cycles per payload, each within 15 s.</t>
        </is>
      </c>
    </row>
    <row r="8" ht="25.5" customHeight="1" s="32">
      <c r="A8" s="40" t="inlineStr">
        <is>
          <t>Legend: yellow cells = fill in during the test. Green cells = already measured during bring-up (keep or overwrite). White cells are formulas; do not type in them. The grey example row is not counted.</t>
        </is>
      </c>
    </row>
    <row r="9" ht="15" customHeight="1" s="32">
      <c r="A9" s="53" t="inlineStr">
        <is>
          <t>Place tolerance (mm)</t>
        </is>
      </c>
      <c r="B9" s="61" t="n"/>
      <c r="C9" s="42" t="n">
        <v>10</v>
      </c>
      <c r="D9" s="34" t="inlineStr">
        <is>
          <t>decide before testing</t>
        </is>
      </c>
    </row>
    <row r="10" ht="15" customHeight="1" s="32">
      <c r="A10" s="53" t="inlineStr">
        <is>
          <t>Max cycle time (s)</t>
        </is>
      </c>
      <c r="B10" s="61" t="n"/>
      <c r="C10" s="42" t="n">
        <v>15</v>
      </c>
    </row>
    <row r="12" ht="30" customHeight="1" s="32">
      <c r="A12" s="35" t="inlineStr">
        <is>
          <t>Payload</t>
        </is>
      </c>
      <c r="B12" s="35" t="inlineStr">
        <is>
          <t>Cycle</t>
        </is>
      </c>
      <c r="C12" s="35" t="inlineStr">
        <is>
          <t>Picked and placed upright (Y/N)</t>
        </is>
      </c>
      <c r="D12" s="35" t="inlineStr">
        <is>
          <t>Place error (mm)</t>
        </is>
      </c>
      <c r="E12" s="35" t="inlineStr">
        <is>
          <t>Cycle time (s)</t>
        </is>
      </c>
      <c r="F12" s="35" t="inlineStr">
        <is>
          <t>Success?</t>
        </is>
      </c>
      <c r="G12" s="35" t="inlineStr">
        <is>
          <t>Notes</t>
        </is>
      </c>
    </row>
    <row r="13" ht="15" customHeight="1" s="32">
      <c r="A13" s="46" t="inlineStr">
        <is>
          <t>50 g</t>
        </is>
      </c>
      <c r="B13" s="46" t="inlineStr">
        <is>
          <t>ex</t>
        </is>
      </c>
      <c r="C13" s="46" t="inlineStr">
        <is>
          <t>Y</t>
        </is>
      </c>
      <c r="D13" s="46" t="n">
        <v>6</v>
      </c>
      <c r="E13" s="46" t="n">
        <v>12.4</v>
      </c>
      <c r="F13" s="46" t="inlineStr">
        <is>
          <t>yes</t>
        </is>
      </c>
    </row>
    <row r="14" ht="15" customHeight="1" s="32">
      <c r="A14" s="41" t="inlineStr">
        <is>
          <t>50 g</t>
        </is>
      </c>
      <c r="B14" s="41" t="n">
        <v>1</v>
      </c>
      <c r="C14" s="42" t="inlineStr">
        <is>
          <t>Y</t>
        </is>
      </c>
      <c r="D14" s="48" t="n">
        <v>2.8</v>
      </c>
      <c r="E14" s="48" t="n">
        <v>11.71</v>
      </c>
      <c r="F14" s="41">
        <f>IF(C14="","",IF(AND(C14="Y",ISNUMBER(D14),D14&lt;=$C$9,ISNUMBER(E14),E14&lt;=$C$10),"yes","no"))</f>
        <v/>
      </c>
      <c r="G14" s="42" t="inlineStr">
        <is>
          <t>radial +2, lateral -2 mm; GUI cycle 3, finished 21:37:38; gripper holding 0.127 A (meas)</t>
        </is>
      </c>
    </row>
    <row r="15" ht="15" customHeight="1" s="32">
      <c r="A15" s="41" t="inlineStr">
        <is>
          <t>50 g</t>
        </is>
      </c>
      <c r="B15" s="41" t="n">
        <v>2</v>
      </c>
      <c r="C15" s="42" t="inlineStr">
        <is>
          <t>Y</t>
        </is>
      </c>
      <c r="D15" s="48" t="n">
        <v>3.6</v>
      </c>
      <c r="E15" s="48" t="n">
        <v>11.8</v>
      </c>
      <c r="F15" s="41">
        <f>IF(C15="","",IF(AND(C15="Y",ISNUMBER(D15),D15&lt;=$C$9,ISNUMBER(E15),E15&lt;=$C$10),"yes","no"))</f>
        <v/>
      </c>
      <c r="G15" s="42" t="inlineStr">
        <is>
          <t>radial +3, lateral -2 mm; GUI cycle 4, finished 21:39:12; gripper holding 0.129 A (meas)</t>
        </is>
      </c>
    </row>
    <row r="16" ht="15" customHeight="1" s="32">
      <c r="A16" s="41" t="inlineStr">
        <is>
          <t>50 g</t>
        </is>
      </c>
      <c r="B16" s="41" t="n">
        <v>3</v>
      </c>
      <c r="C16" s="42" t="inlineStr">
        <is>
          <t>Y</t>
        </is>
      </c>
      <c r="D16" s="48" t="n">
        <v>2.8</v>
      </c>
      <c r="E16" s="48" t="n">
        <v>11.84</v>
      </c>
      <c r="F16" s="41">
        <f>IF(C16="","",IF(AND(C16="Y",ISNUMBER(D16),D16&lt;=$C$9,ISNUMBER(E16),E16&lt;=$C$10),"yes","no"))</f>
        <v/>
      </c>
      <c r="G16" s="42" t="inlineStr">
        <is>
          <t>radial +2, lateral -2 mm; GUI cycle 5, finished 21:42:06; gripper holding 0.105 A (meas)</t>
        </is>
      </c>
    </row>
    <row r="17" ht="15" customHeight="1" s="32">
      <c r="A17" s="41" t="inlineStr">
        <is>
          <t>50 g</t>
        </is>
      </c>
      <c r="B17" s="41" t="n">
        <v>4</v>
      </c>
      <c r="C17" s="42" t="inlineStr">
        <is>
          <t>Y</t>
        </is>
      </c>
      <c r="D17" s="48" t="n">
        <v>1</v>
      </c>
      <c r="E17" s="48" t="n">
        <v>12.06</v>
      </c>
      <c r="F17" s="41">
        <f>IF(C17="","",IF(AND(C17="Y",ISNUMBER(D17),D17&lt;=$C$9,ISNUMBER(E17),E17&lt;=$C$10),"yes","no"))</f>
        <v/>
      </c>
      <c r="G17" s="42" t="inlineStr">
        <is>
          <t>radial +0, lateral -1 mm; GUI cycle 6, finished 21:42:52; gripper holding 0.115 A (meas)</t>
        </is>
      </c>
    </row>
    <row r="18" ht="15" customHeight="1" s="32">
      <c r="A18" s="41" t="inlineStr">
        <is>
          <t>50 g</t>
        </is>
      </c>
      <c r="B18" s="41" t="n">
        <v>5</v>
      </c>
      <c r="C18" s="42" t="inlineStr">
        <is>
          <t>Y</t>
        </is>
      </c>
      <c r="D18" s="48" t="n">
        <v>3</v>
      </c>
      <c r="E18" s="48" t="n">
        <v>11.85</v>
      </c>
      <c r="F18" s="41">
        <f>IF(C18="","",IF(AND(C18="Y",ISNUMBER(D18),D18&lt;=$C$9,ISNUMBER(E18),E18&lt;=$C$10),"yes","no"))</f>
        <v/>
      </c>
      <c r="G18" s="42" t="inlineStr">
        <is>
          <t>radial +3, lateral +0 mm; GUI cycle 7, finished 21:43:41; gripper holding 0.118 A (meas)</t>
        </is>
      </c>
    </row>
    <row r="19" ht="15" customHeight="1" s="32">
      <c r="A19" s="41" t="inlineStr">
        <is>
          <t>50 g</t>
        </is>
      </c>
      <c r="B19" s="41" t="n">
        <v>6</v>
      </c>
      <c r="C19" s="42" t="inlineStr">
        <is>
          <t>Y</t>
        </is>
      </c>
      <c r="D19" s="48" t="n">
        <v>5</v>
      </c>
      <c r="E19" s="48" t="n">
        <v>11.83</v>
      </c>
      <c r="F19" s="41">
        <f>IF(C19="","",IF(AND(C19="Y",ISNUMBER(D19),D19&lt;=$C$9,ISNUMBER(E19),E19&lt;=$C$10),"yes","no"))</f>
        <v/>
      </c>
      <c r="G19" s="42" t="inlineStr">
        <is>
          <t>radial +4, lateral -3 mm; GUI cycle 8, finished 21:44:30; gripper holding 0.127 A (meas); big oscillation on the way down</t>
        </is>
      </c>
    </row>
    <row r="20" ht="15" customHeight="1" s="32">
      <c r="A20" s="41" t="inlineStr">
        <is>
          <t>50 g</t>
        </is>
      </c>
      <c r="B20" s="41" t="n">
        <v>7</v>
      </c>
      <c r="C20" s="42" t="inlineStr">
        <is>
          <t>Y</t>
        </is>
      </c>
      <c r="D20" s="48" t="n">
        <v>4.5</v>
      </c>
      <c r="E20" s="48" t="n">
        <v>12.41</v>
      </c>
      <c r="F20" s="41">
        <f>IF(C20="","",IF(AND(C20="Y",ISNUMBER(D20),D20&lt;=$C$9,ISNUMBER(E20),E20&lt;=$C$10),"yes","no"))</f>
        <v/>
      </c>
      <c r="G20" s="42" t="inlineStr">
        <is>
          <t>radial +4, lateral -2 mm; GUI cycle 10, finished 21:45:34; gripper holding 0.122 A (meas); big oscillation on the way down</t>
        </is>
      </c>
    </row>
    <row r="21" ht="15" customHeight="1" s="32">
      <c r="A21" s="41" t="inlineStr">
        <is>
          <t>50 g</t>
        </is>
      </c>
      <c r="B21" s="41" t="n">
        <v>8</v>
      </c>
      <c r="C21" s="42" t="inlineStr">
        <is>
          <t>Y</t>
        </is>
      </c>
      <c r="D21" s="48" t="n">
        <v>2.2</v>
      </c>
      <c r="E21" s="48" t="n">
        <v>11.95</v>
      </c>
      <c r="F21" s="41">
        <f>IF(C21="","",IF(AND(C21="Y",ISNUMBER(D21),D21&lt;=$C$9,ISNUMBER(E21),E21&lt;=$C$10),"yes","no"))</f>
        <v/>
      </c>
      <c r="G21" s="42" t="inlineStr">
        <is>
          <t>radial +2, lateral -1 mm; GUI cycle 11, finished 21:46:27; gripper holding 0.125 A (meas)</t>
        </is>
      </c>
    </row>
    <row r="22" ht="15" customHeight="1" s="32">
      <c r="A22" s="41" t="inlineStr">
        <is>
          <t>50 g</t>
        </is>
      </c>
      <c r="B22" s="41" t="n">
        <v>9</v>
      </c>
      <c r="C22" s="42" t="inlineStr">
        <is>
          <t>Y</t>
        </is>
      </c>
      <c r="D22" s="48" t="n">
        <v>1</v>
      </c>
      <c r="E22" s="48" t="n">
        <v>12.25</v>
      </c>
      <c r="F22" s="41">
        <f>IF(C22="","",IF(AND(C22="Y",ISNUMBER(D22),D22&lt;=$C$9,ISNUMBER(E22),E22&lt;=$C$10),"yes","no"))</f>
        <v/>
      </c>
      <c r="G22" s="42" t="inlineStr">
        <is>
          <t>radial +0, lateral -1 mm; GUI cycle 12, finished 21:47:12; gripper holding 0.119 A (meas)</t>
        </is>
      </c>
    </row>
    <row r="23" ht="15" customHeight="1" s="32">
      <c r="A23" s="41" t="inlineStr">
        <is>
          <t>50 g</t>
        </is>
      </c>
      <c r="B23" s="41" t="n">
        <v>10</v>
      </c>
      <c r="C23" s="42" t="inlineStr">
        <is>
          <t>Y</t>
        </is>
      </c>
      <c r="D23" s="48" t="n">
        <v>2.2</v>
      </c>
      <c r="E23" s="48" t="n">
        <v>12.49</v>
      </c>
      <c r="F23" s="41">
        <f>IF(C23="","",IF(AND(C23="Y",ISNUMBER(D23),D23&lt;=$C$9,ISNUMBER(E23),E23&lt;=$C$10),"yes","no"))</f>
        <v/>
      </c>
      <c r="G23" s="42" t="inlineStr">
        <is>
          <t>radial +2, lateral -1 mm; GUI cycle 13, finished 21:48:17; gripper holding 0.103 A (meas)</t>
        </is>
      </c>
    </row>
    <row r="24" ht="15" customHeight="1" s="32">
      <c r="A24" s="41" t="inlineStr">
        <is>
          <t>500 g</t>
        </is>
      </c>
      <c r="B24" s="41" t="n">
        <v>1</v>
      </c>
      <c r="C24" s="42" t="inlineStr">
        <is>
          <t>Y</t>
        </is>
      </c>
      <c r="D24" s="48" t="n">
        <v>5.7</v>
      </c>
      <c r="E24" s="48" t="n">
        <v>12.42</v>
      </c>
      <c r="F24" s="41">
        <f>IF(C24="","",IF(AND(C24="Y",ISNUMBER(D24),D24&lt;=$C$9,ISNUMBER(E24),E24&lt;=$C$10),"yes","no"))</f>
        <v/>
      </c>
      <c r="G24" s="42" t="inlineStr">
        <is>
          <t>radial -4, lateral +4 mm; GUI cycle 1; gripper holding 0.131 A (meas); big oscillation before drop</t>
        </is>
      </c>
    </row>
    <row r="25" ht="15" customHeight="1" s="32">
      <c r="A25" s="41" t="inlineStr">
        <is>
          <t>500 g</t>
        </is>
      </c>
      <c r="B25" s="41" t="n">
        <v>2</v>
      </c>
      <c r="C25" s="42" t="inlineStr">
        <is>
          <t>Y</t>
        </is>
      </c>
      <c r="D25" s="48" t="n">
        <v>2</v>
      </c>
      <c r="E25" s="48" t="n">
        <v>11.97</v>
      </c>
      <c r="F25" s="41">
        <f>IF(C25="","",IF(AND(C25="Y",ISNUMBER(D25),D25&lt;=$C$9,ISNUMBER(E25),E25&lt;=$C$10),"yes","no"))</f>
        <v/>
      </c>
      <c r="G25" s="42" t="inlineStr">
        <is>
          <t>radial +0, lateral +2 mm; GUI cycle 3; gripper holding 0.157 A (meas)</t>
        </is>
      </c>
    </row>
    <row r="26" ht="15" customHeight="1" s="32">
      <c r="A26" s="41" t="inlineStr">
        <is>
          <t>500 g</t>
        </is>
      </c>
      <c r="B26" s="41" t="n">
        <v>3</v>
      </c>
      <c r="C26" s="42" t="inlineStr">
        <is>
          <t>Y</t>
        </is>
      </c>
      <c r="D26" s="48" t="n">
        <v>8</v>
      </c>
      <c r="E26" s="48" t="n">
        <v>11.88</v>
      </c>
      <c r="F26" s="41">
        <f>IF(C26="","",IF(AND(C26="Y",ISNUMBER(D26),D26&lt;=$C$9,ISNUMBER(E26),E26&lt;=$C$10),"yes","no"))</f>
        <v/>
      </c>
      <c r="G26" s="42" t="inlineStr">
        <is>
          <t>radial +0, lateral +8 mm; GUI cycle 4; gripper holding 0.139 A (meas); big oscillation before drop</t>
        </is>
      </c>
    </row>
    <row r="27" ht="15" customHeight="1" s="32">
      <c r="A27" s="41" t="inlineStr">
        <is>
          <t>500 g</t>
        </is>
      </c>
      <c r="B27" s="41" t="n">
        <v>4</v>
      </c>
      <c r="C27" s="42" t="inlineStr">
        <is>
          <t>Y</t>
        </is>
      </c>
      <c r="D27" s="48" t="n">
        <v>2.2</v>
      </c>
      <c r="E27" s="48" t="n">
        <v>12.44</v>
      </c>
      <c r="F27" s="41">
        <f>IF(C27="","",IF(AND(C27="Y",ISNUMBER(D27),D27&lt;=$C$9,ISNUMBER(E27),E27&lt;=$C$10),"yes","no"))</f>
        <v/>
      </c>
      <c r="G27" s="42" t="inlineStr">
        <is>
          <t>radial +1, lateral +2 mm; GUI cycle 5; gripper holding 0.145 A (meas)</t>
        </is>
      </c>
    </row>
    <row r="28" ht="15" customHeight="1" s="32">
      <c r="A28" s="41" t="inlineStr">
        <is>
          <t>500 g</t>
        </is>
      </c>
      <c r="B28" s="41" t="n">
        <v>5</v>
      </c>
      <c r="C28" s="42" t="inlineStr">
        <is>
          <t>Y</t>
        </is>
      </c>
      <c r="D28" s="48" t="n">
        <v>4</v>
      </c>
      <c r="E28" s="48" t="n">
        <v>11.89</v>
      </c>
      <c r="F28" s="41">
        <f>IF(C28="","",IF(AND(C28="Y",ISNUMBER(D28),D28&lt;=$C$9,ISNUMBER(E28),E28&lt;=$C$10),"yes","no"))</f>
        <v/>
      </c>
      <c r="G28" s="42" t="inlineStr">
        <is>
          <t>radial +0, lateral +4 mm; GUI cycle 6; gripper holding 0.136 A (meas)</t>
        </is>
      </c>
    </row>
    <row r="29" ht="15" customHeight="1" s="32">
      <c r="A29" s="41" t="inlineStr">
        <is>
          <t>500 g</t>
        </is>
      </c>
      <c r="B29" s="41" t="n">
        <v>6</v>
      </c>
      <c r="C29" s="42" t="inlineStr">
        <is>
          <t>Y</t>
        </is>
      </c>
      <c r="D29" s="48" t="n">
        <v>4.2</v>
      </c>
      <c r="E29" s="48" t="n">
        <v>12.22</v>
      </c>
      <c r="F29" s="41">
        <f>IF(C29="","",IF(AND(C29="Y",ISNUMBER(D29),D29&lt;=$C$9,ISNUMBER(E29),E29&lt;=$C$10),"yes","no"))</f>
        <v/>
      </c>
      <c r="G29" s="42" t="inlineStr">
        <is>
          <t>radial +3, lateral +3 mm; GUI cycle 7; gripper holding 0.141 A (meas); big oscillation before drop</t>
        </is>
      </c>
    </row>
    <row r="30" ht="15" customHeight="1" s="32">
      <c r="A30" s="41" t="inlineStr">
        <is>
          <t>500 g</t>
        </is>
      </c>
      <c r="B30" s="41" t="n">
        <v>7</v>
      </c>
      <c r="C30" s="42" t="inlineStr">
        <is>
          <t>Y</t>
        </is>
      </c>
      <c r="D30" s="48" t="n">
        <v>5.7</v>
      </c>
      <c r="E30" s="48" t="n">
        <v>12.1</v>
      </c>
      <c r="F30" s="41">
        <f>IF(C30="","",IF(AND(C30="Y",ISNUMBER(D30),D30&lt;=$C$9,ISNUMBER(E30),E30&lt;=$C$10),"yes","no"))</f>
        <v/>
      </c>
      <c r="G30" s="42" t="inlineStr">
        <is>
          <t>radial +4, lateral +4 mm; GUI cycle 8; gripper holding 0.138 A (meas); big oscillation before drop</t>
        </is>
      </c>
    </row>
    <row r="31" ht="15" customHeight="1" s="32">
      <c r="A31" s="41" t="inlineStr">
        <is>
          <t>500 g</t>
        </is>
      </c>
      <c r="B31" s="41" t="n">
        <v>8</v>
      </c>
      <c r="C31" s="42" t="inlineStr">
        <is>
          <t>Y</t>
        </is>
      </c>
      <c r="D31" s="48" t="n">
        <v>2.8</v>
      </c>
      <c r="E31" s="48" t="n">
        <v>12.3</v>
      </c>
      <c r="F31" s="41">
        <f>IF(C31="","",IF(AND(C31="Y",ISNUMBER(D31),D31&lt;=$C$9,ISNUMBER(E31),E31&lt;=$C$10),"yes","no"))</f>
        <v/>
      </c>
      <c r="G31" s="42" t="inlineStr">
        <is>
          <t>radial -2, lateral +2 mm; GUI cycle 9; gripper holding 0.317 A (meas); big oscillation before drop</t>
        </is>
      </c>
    </row>
    <row r="32" ht="15" customHeight="1" s="32">
      <c r="A32" s="41" t="inlineStr">
        <is>
          <t>500 g</t>
        </is>
      </c>
      <c r="B32" s="41" t="n">
        <v>9</v>
      </c>
      <c r="C32" s="42" t="inlineStr">
        <is>
          <t>Y</t>
        </is>
      </c>
      <c r="D32" s="48" t="n">
        <v>1.4</v>
      </c>
      <c r="E32" s="48" t="n">
        <v>11.9</v>
      </c>
      <c r="F32" s="41">
        <f>IF(C32="","",IF(AND(C32="Y",ISNUMBER(D32),D32&lt;=$C$9,ISNUMBER(E32),E32&lt;=$C$10),"yes","no"))</f>
        <v/>
      </c>
      <c r="G32" s="42" t="inlineStr">
        <is>
          <t>radial -1, lateral +1 mm; GUI cycle 11; gripper holding 0.129 A (meas); big oscillation before drop</t>
        </is>
      </c>
    </row>
    <row r="33" ht="15" customHeight="1" s="32">
      <c r="A33" s="41" t="inlineStr">
        <is>
          <t>500 g</t>
        </is>
      </c>
      <c r="B33" s="41" t="n">
        <v>10</v>
      </c>
      <c r="C33" s="42" t="inlineStr">
        <is>
          <t>Y</t>
        </is>
      </c>
      <c r="D33" s="48" t="n">
        <v>2.8</v>
      </c>
      <c r="E33" s="48" t="n">
        <v>12.22</v>
      </c>
      <c r="F33" s="41">
        <f>IF(C33="","",IF(AND(C33="Y",ISNUMBER(D33),D33&lt;=$C$9,ISNUMBER(E33),E33&lt;=$C$10),"yes","no"))</f>
        <v/>
      </c>
      <c r="G33" s="42" t="inlineStr">
        <is>
          <t>radial +2, lateral +2 mm; GUI cycle 12; gripper holding 0.132 A (meas); big oscillation before drop</t>
        </is>
      </c>
    </row>
    <row r="35" ht="15" customHeight="1" s="32">
      <c r="A35" s="38" t="inlineStr">
        <is>
          <t>Summary</t>
        </is>
      </c>
    </row>
    <row r="36" ht="30" customHeight="1" s="32">
      <c r="A36" s="35" t="inlineStr">
        <is>
          <t>Payload</t>
        </is>
      </c>
      <c r="B36" s="35" t="inlineStr">
        <is>
          <t>Cycles done</t>
        </is>
      </c>
      <c r="C36" s="35" t="inlineStr">
        <is>
          <t>Successes</t>
        </is>
      </c>
      <c r="D36" s="35" t="inlineStr">
        <is>
          <t>Mean time (s)</t>
        </is>
      </c>
      <c r="E36" s="35" t="inlineStr">
        <is>
          <t>Max time (s)</t>
        </is>
      </c>
      <c r="F36" s="35" t="inlineStr">
        <is>
          <t>Result</t>
        </is>
      </c>
    </row>
    <row r="37" ht="15" customHeight="1" s="32">
      <c r="A37" s="41" t="inlineStr">
        <is>
          <t>50 g</t>
        </is>
      </c>
      <c r="B37" s="41">
        <f>COUNTIFS($A$14:$A$33,"50 g",$F$14:$F$33,"yes")+COUNTIFS($A$14:$A$33,"50 g",$F$14:$F$33,"no")</f>
        <v/>
      </c>
      <c r="C37" s="41">
        <f>COUNTIFS($A$14:$A$33,"50 g",$F$14:$F$33,"yes")</f>
        <v/>
      </c>
      <c r="D37" s="49">
        <f>IFERROR(AVERAGEIFS($E$14:$E$33,$A$14:$A$33,"50 g"),"")</f>
        <v/>
      </c>
      <c r="E37" s="49">
        <f>IF(B37=0,"",_xlfn.MAXIFS($E$14:$E$33,$A$14:$A$33,"50 g"))</f>
        <v/>
      </c>
      <c r="F37" s="53">
        <f>IF(B37&lt;10,"not done",IF(C37&gt;=9,"PASS","FAIL"))</f>
        <v/>
      </c>
    </row>
    <row r="38" ht="15" customHeight="1" s="32">
      <c r="A38" s="41" t="inlineStr">
        <is>
          <t>500 g</t>
        </is>
      </c>
      <c r="B38" s="41">
        <f>COUNTIFS($A$14:$A$33,"500 g",$F$14:$F$33,"yes")+COUNTIFS($A$14:$A$33,"500 g",$F$14:$F$33,"no")</f>
        <v/>
      </c>
      <c r="C38" s="41">
        <f>COUNTIFS($A$14:$A$33,"500 g",$F$14:$F$33,"yes")</f>
        <v/>
      </c>
      <c r="D38" s="49">
        <f>IFERROR(AVERAGEIFS($E$14:$E$33,$A$14:$A$33,"500 g"),"")</f>
        <v/>
      </c>
      <c r="E38" s="49">
        <f>IF(B38=0,"",_xlfn.MAXIFS($E$14:$E$33,$A$14:$A$33,"500 g"))</f>
        <v/>
      </c>
      <c r="F38" s="53">
        <f>IF(B38&lt;10,"not done",IF(C38&gt;=9,"PASS","FAIL"))</f>
        <v/>
      </c>
    </row>
    <row r="39" ht="15" customHeight="1" s="32">
      <c r="A39" s="53" t="inlineStr">
        <is>
          <t>All</t>
        </is>
      </c>
      <c r="F39" s="53">
        <f>IF(COUNTIF(F37:F38,"not done")&gt;0,"not done",IF(COUNTIF(F37:F38,"FAIL")&gt;0,"FAIL","PASS"))</f>
        <v/>
      </c>
    </row>
    <row r="40">
      <c r="A40" s="31" t="inlineStr">
        <is>
          <t>13 Oct, 50 g, sequence test87_side_transfer (pick right station r 300 mm at -45 deg, place left station r 300 mm at +45 deg, above points z 100, 2 s waits). Export arm_export_20261013_215029.xlsx holds 13 GUI cycles: cycle 1 and 9 stopped (miss runs), cycle 2 = trial run before the set; cycles 3-8 and 10-13 are the 10 counted cycles. Model current columns in that export used cube mass 0.5 kg (GUI setting), not 50 g.</t>
        </is>
      </c>
    </row>
    <row r="41">
      <c r="A41" s="31" t="inlineStr">
        <is>
          <t>Place error = sqrt(radial^2 + lateral^2) from the two components measured on the mat (8.6 convention: radial + beyond / - short, lateral + right / - left of the ray, seen from the base).</t>
        </is>
      </c>
    </row>
    <row r="43">
      <c r="A43" s="63" t="inlineStr">
        <is>
          <t>Extra 500 g trials (run to check whether the oscillation affects accuracy; not counted in the summary above)</t>
        </is>
      </c>
    </row>
    <row r="44">
      <c r="A44" s="35" t="inlineStr">
        <is>
          <t>Payload</t>
        </is>
      </c>
      <c r="B44" s="35" t="inlineStr">
        <is>
          <t>Cycle</t>
        </is>
      </c>
      <c r="C44" s="35" t="inlineStr">
        <is>
          <t>Picked and placed upright (Y/N)</t>
        </is>
      </c>
      <c r="D44" s="35" t="inlineStr">
        <is>
          <t>Place error (mm)</t>
        </is>
      </c>
      <c r="E44" s="35" t="inlineStr">
        <is>
          <t>Cycle time (s)</t>
        </is>
      </c>
      <c r="F44" s="35" t="inlineStr">
        <is>
          <t>Success?</t>
        </is>
      </c>
      <c r="G44" s="35" t="inlineStr">
        <is>
          <t>Notes</t>
        </is>
      </c>
    </row>
    <row r="45">
      <c r="A45" s="64" t="inlineStr">
        <is>
          <t>500 g</t>
        </is>
      </c>
      <c r="B45" s="64" t="n">
        <v>11</v>
      </c>
      <c r="C45" s="64" t="inlineStr">
        <is>
          <t>Y</t>
        </is>
      </c>
      <c r="D45" s="65" t="n">
        <v>2</v>
      </c>
      <c r="E45" s="65" t="n">
        <v>12.28</v>
      </c>
      <c r="F45" s="64">
        <f>IF(C45="","",IF(AND(C45="Y",ISNUMBER(D45),D45&lt;=$C$9,ISNUMBER(E45),E45&lt;=$C$10),"yes","no"))</f>
        <v/>
      </c>
      <c r="G45" s="64" t="inlineStr">
        <is>
          <t>radial +0, lateral +2 mm; GUI cycle 13; gripper holding 0.132 A (meas)</t>
        </is>
      </c>
    </row>
    <row r="46">
      <c r="A46" s="64" t="inlineStr">
        <is>
          <t>500 g</t>
        </is>
      </c>
      <c r="B46" s="64" t="n">
        <v>12</v>
      </c>
      <c r="C46" s="64" t="inlineStr">
        <is>
          <t>Y</t>
        </is>
      </c>
      <c r="D46" s="65" t="n">
        <v>3</v>
      </c>
      <c r="E46" s="65" t="n">
        <v>12.41</v>
      </c>
      <c r="F46" s="64">
        <f>IF(C46="","",IF(AND(C46="Y",ISNUMBER(D46),D46&lt;=$C$9,ISNUMBER(E46),E46&lt;=$C$10),"yes","no"))</f>
        <v/>
      </c>
      <c r="G46" s="64" t="inlineStr">
        <is>
          <t>radial +0, lateral +3 mm; GUI cycle 14; gripper holding 0.134 A (meas); big oscillation before drop</t>
        </is>
      </c>
    </row>
    <row r="47">
      <c r="A47" s="64" t="inlineStr">
        <is>
          <t>500 g</t>
        </is>
      </c>
      <c r="B47" s="64" t="n">
        <v>13</v>
      </c>
      <c r="C47" s="64" t="inlineStr">
        <is>
          <t>Y</t>
        </is>
      </c>
      <c r="D47" s="65" t="n">
        <v>3.6</v>
      </c>
      <c r="E47" s="65" t="n">
        <v>11.88</v>
      </c>
      <c r="F47" s="64">
        <f>IF(C47="","",IF(AND(C47="Y",ISNUMBER(D47),D47&lt;=$C$9,ISNUMBER(E47),E47&lt;=$C$10),"yes","no"))</f>
        <v/>
      </c>
      <c r="G47" s="64" t="inlineStr">
        <is>
          <t>radial +2, lateral +3 mm; GUI cycle 15; gripper holding 0.134 A (meas)</t>
        </is>
      </c>
    </row>
    <row r="48">
      <c r="A48" s="64" t="inlineStr">
        <is>
          <t>500 g</t>
        </is>
      </c>
      <c r="B48" s="64" t="n">
        <v>14</v>
      </c>
      <c r="C48" s="64" t="inlineStr">
        <is>
          <t>Y</t>
        </is>
      </c>
      <c r="D48" s="65" t="n">
        <v>5</v>
      </c>
      <c r="E48" s="65" t="n">
        <v>12.03</v>
      </c>
      <c r="F48" s="64">
        <f>IF(C48="","",IF(AND(C48="Y",ISNUMBER(D48),D48&lt;=$C$9,ISNUMBER(E48),E48&lt;=$C$10),"yes","no"))</f>
        <v/>
      </c>
      <c r="G48" s="64" t="inlineStr">
        <is>
          <t>radial -3, lateral +4 mm; GUI cycle 16; gripper holding 0.239 A (meas)</t>
        </is>
      </c>
    </row>
    <row r="49">
      <c r="A49" s="64" t="inlineStr">
        <is>
          <t>500 g</t>
        </is>
      </c>
      <c r="B49" s="64" t="n">
        <v>15</v>
      </c>
      <c r="C49" s="64" t="inlineStr">
        <is>
          <t>Y</t>
        </is>
      </c>
      <c r="D49" s="65" t="n">
        <v>3</v>
      </c>
      <c r="E49" s="65" t="n">
        <v>12.03</v>
      </c>
      <c r="F49" s="64">
        <f>IF(C49="","",IF(AND(C49="Y",ISNUMBER(D49),D49&lt;=$C$9,ISNUMBER(E49),E49&lt;=$C$10),"yes","no"))</f>
        <v/>
      </c>
      <c r="G49" s="64" t="inlineStr">
        <is>
          <t>radial +0, lateral +3 mm; GUI cycle 17; gripper holding 0.139 A (meas); big oscillation before drop</t>
        </is>
      </c>
    </row>
    <row r="51">
      <c r="A51" s="63" t="inlineStr">
        <is>
          <t>Oscillation check (all 25 cycles, place error = sqrt(radial^2 + lateral^2))</t>
        </is>
      </c>
    </row>
    <row r="52">
      <c r="A52" s="66" t="inlineStr">
        <is>
          <t>Group</t>
        </is>
      </c>
      <c r="B52" s="66" t="inlineStr">
        <is>
          <t>n</t>
        </is>
      </c>
      <c r="C52" s="66" t="inlineStr">
        <is>
          <t>Mean error (mm)</t>
        </is>
      </c>
      <c r="D52" s="66" t="inlineStr">
        <is>
          <t>Max error (mm)</t>
        </is>
      </c>
      <c r="E52" s="66" t="inlineStr">
        <is>
          <t>Mean radial (mm)</t>
        </is>
      </c>
      <c r="F52" s="66" t="inlineStr">
        <is>
          <t>Mean lateral (mm)</t>
        </is>
      </c>
    </row>
    <row r="53">
      <c r="A53" s="31" t="inlineStr">
        <is>
          <t>50 g, no oscillation seen</t>
        </is>
      </c>
      <c r="B53" s="31" t="n">
        <v>8</v>
      </c>
      <c r="C53" s="31" t="n">
        <v>2.3</v>
      </c>
      <c r="D53" s="31" t="n">
        <v>3.6</v>
      </c>
      <c r="E53" s="31" t="n">
        <v>1.8</v>
      </c>
      <c r="F53" s="31" t="n">
        <v>-1.3</v>
      </c>
    </row>
    <row r="54">
      <c r="A54" s="31" t="inlineStr">
        <is>
          <t>50 g, oscillation seen</t>
        </is>
      </c>
      <c r="B54" s="31" t="n">
        <v>2</v>
      </c>
      <c r="C54" s="31" t="n">
        <v>4.7</v>
      </c>
      <c r="D54" s="31" t="n">
        <v>5</v>
      </c>
      <c r="E54" s="31" t="n">
        <v>4</v>
      </c>
      <c r="F54" s="31" t="n">
        <v>-2.5</v>
      </c>
    </row>
    <row r="55">
      <c r="A55" s="31" t="inlineStr">
        <is>
          <t>500 g, no oscillation seen</t>
        </is>
      </c>
      <c r="B55" s="31" t="n">
        <v>6</v>
      </c>
      <c r="C55" s="31" t="n">
        <v>3.1</v>
      </c>
      <c r="D55" s="31" t="n">
        <v>5</v>
      </c>
      <c r="E55" s="31" t="n">
        <v>0</v>
      </c>
      <c r="F55" s="31" t="n">
        <v>2.8</v>
      </c>
    </row>
    <row r="56">
      <c r="A56" s="31" t="inlineStr">
        <is>
          <t>500 g, oscillation seen</t>
        </is>
      </c>
      <c r="B56" s="31" t="n">
        <v>9</v>
      </c>
      <c r="C56" s="31" t="n">
        <v>4.1</v>
      </c>
      <c r="D56" s="31" t="n">
        <v>8</v>
      </c>
      <c r="E56" s="31" t="n">
        <v>0.2</v>
      </c>
      <c r="F56" s="31" t="n">
        <v>3.3</v>
      </c>
    </row>
    <row r="58">
      <c r="A58" s="31" t="inlineStr">
        <is>
          <t>500 g with vs without oscillation: Mann-Whitney p = 0.38 (no significant difference). Every cycle is within the 10 mm tolerance. The GUI data log shows the commanded descent overshoots in every cycle (model tip dips 10-20 mm below the place height and rebounds; commanded shoulder swings 4-8 deg), and the release comes 0.6-1.0 s after the descent starts, so the cube is released while the arm is still settling. Lateral error differs between payloads (50 g mean -1.5 mm, 500 g mean +3.1 mm, p &lt; 0.001) and follows the base encoder angle at release (Spearman 0.76): it is set by where the base settles (base trim off), not by the oscillation.</t>
        </is>
      </c>
    </row>
  </sheetData>
  <mergeCells count="7">
    <mergeCell ref="A8:G8"/>
    <mergeCell ref="A6:G6"/>
    <mergeCell ref="A10:B10"/>
    <mergeCell ref="A4:G4"/>
    <mergeCell ref="A7:G7"/>
    <mergeCell ref="A9:B9"/>
    <mergeCell ref="A5:G5"/>
  </mergeCells>
  <dataValidations count="1">
    <dataValidation sqref="C14:C33" showDropDown="0" showInputMessage="0" showErrorMessage="0" allowBlank="1" type="list" errorStyle="stop" operator="between">
      <formula1>"Y,N"</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I6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31" min="1" max="1"/>
    <col width="13" customWidth="1" style="31" min="2" max="4"/>
    <col width="14" customWidth="1" style="31" min="5" max="7"/>
    <col width="24" customWidth="1" style="31" min="8" max="8"/>
  </cols>
  <sheetData>
    <row r="1" ht="17.25" customHeight="1" s="32">
      <c r="A1" s="33" t="inlineStr">
        <is>
          <t>8.8 Power, temperature and safety (R2, R4, R5, R6, R7, Objective 2)</t>
        </is>
      </c>
    </row>
    <row r="2" ht="15" customHeight="1" s="32">
      <c r="A2" s="34" t="inlineStr">
        <is>
          <t>Do the E-stop runs over something soft: the arm drops when servo power is cut.</t>
        </is>
      </c>
    </row>
    <row r="4" ht="30" customHeight="1" s="32">
      <c r="A4" s="45" t="inlineStr">
        <is>
          <t>Full extension (R2): hold 500 g with the arm fully extended for 30 s. Record whether it holds, the sag and the servo case temperatures afterwards.</t>
        </is>
      </c>
    </row>
    <row r="5" ht="30" customHeight="1" s="32">
      <c r="A5" s="45" t="inlineStr">
        <is>
          <t>Rails (R5): multimeter at idle, while holding 500 g extended, and the lowest reading during a fast move. Check the rating limits against each datasheet before testing.</t>
        </is>
      </c>
    </row>
    <row r="6" ht="30" customHeight="1" s="32">
      <c r="A6" s="45" t="inlineStr">
        <is>
          <t>E-stop (R7): press it 10 times during motion. Then one run with the E-stop signal wire to GPIO 41 disconnected: the relay must still cut the servo power.</t>
        </is>
      </c>
    </row>
    <row r="7" ht="30" customHeight="1" s="32">
      <c r="A7" s="45" t="inlineStr">
        <is>
          <t>Fuse (R6): confirm it never blew. Polarity protection and transient suppression: by inspection only (do not reverse the supply).</t>
        </is>
      </c>
    </row>
    <row r="8" ht="25.5" customHeight="1" s="32">
      <c r="A8" s="40" t="inlineStr">
        <is>
          <t>Legend: yellow cells = fill in during the test. Green cells = already measured during bring-up (keep or overwrite). White cells are formulas; do not type in them. The grey example row is not counted.</t>
        </is>
      </c>
    </row>
    <row r="9" ht="15" customHeight="1" s="32">
      <c r="A9" s="38" t="inlineStr">
        <is>
          <t>Full extension hold (R2)</t>
        </is>
      </c>
    </row>
    <row r="10" ht="30" customHeight="1" s="32">
      <c r="A10" s="35" t="inlineStr">
        <is>
          <t>Quantity</t>
        </is>
      </c>
      <c r="B10" s="35" t="inlineStr">
        <is>
          <t>Value</t>
        </is>
      </c>
      <c r="C10" s="35" t="inlineStr">
        <is>
          <t>Unit</t>
        </is>
      </c>
      <c r="D10" s="35" t="inlineStr">
        <is>
          <t>Note</t>
        </is>
      </c>
    </row>
    <row r="11" ht="15" customHeight="1" s="32">
      <c r="A11" s="41" t="inlineStr">
        <is>
          <t>Held 500 g for 30 s (Y/N)</t>
        </is>
      </c>
      <c r="B11" s="42" t="inlineStr">
        <is>
          <t>Y</t>
        </is>
      </c>
      <c r="C11" s="41" t="n"/>
      <c r="D11" s="41" t="inlineStr">
        <is>
          <t>13 Oct: W,0,0,0,0 (all joints horizontal), 500 g cube, grasp confirmed (median 0.142 A), still holding at the check (0.109 A).</t>
        </is>
      </c>
    </row>
    <row r="12" ht="15" customHeight="1" s="32">
      <c r="A12" s="41" t="inlineStr">
        <is>
          <t>Sag at the tip</t>
        </is>
      </c>
      <c r="B12" s="42" t="n">
        <v>15</v>
      </c>
      <c r="C12" s="41" t="inlineStr">
        <is>
          <t>mm</t>
        </is>
      </c>
      <c r="D12" s="41" t="inlineStr">
        <is>
          <t>Pad centre 65 mm above table empty, 50 mm loaded (ruler).</t>
        </is>
      </c>
    </row>
    <row r="13" ht="15" customHeight="1" s="32">
      <c r="A13" s="41" t="inlineStr">
        <is>
          <t>Shoulder encoder change</t>
        </is>
      </c>
      <c r="B13" s="42" t="n">
        <v>-0.75</v>
      </c>
      <c r="C13" s="41" t="inlineStr">
        <is>
          <t>°</t>
        </is>
      </c>
      <c r="D13" s="41" t="inlineStr">
        <is>
          <t>0.13 -&gt; -0.62 deg; trim at its +5.00 deg clamp (was +2.33 empty)</t>
        </is>
      </c>
    </row>
    <row r="14" ht="15" customHeight="1" s="32">
      <c r="A14" s="41" t="inlineStr">
        <is>
          <t>Elbow encoder change</t>
        </is>
      </c>
      <c r="B14" s="42" t="n">
        <v>-0.63</v>
      </c>
      <c r="C14" s="41" t="inlineStr">
        <is>
          <t>°</t>
        </is>
      </c>
      <c r="D14" s="41" t="inlineStr">
        <is>
          <t>-0.25 -&gt; -0.88 deg; trim at its +5.00 deg clamp (was +2.39 empty). Wrist -0.09 -&gt; -0.18 deg, trim -0.23 -&gt; +1.72.</t>
        </is>
      </c>
    </row>
    <row r="15" ht="15" customHeight="1" s="32">
      <c r="A15" s="53" t="inlineStr">
        <is>
          <t>Result</t>
        </is>
      </c>
      <c r="B15" s="53">
        <f>IF(B11="","not done",IF(B11="Y","PASS","FAIL"))</f>
        <v/>
      </c>
    </row>
    <row r="16">
      <c r="A16" s="31" t="inlineStr">
        <is>
          <t>Encoder changes account for ~9 mm of the 15 mm sag (0.75 deg x 453 mm + 0.63 deg x 278 mm + 0.09 deg x 133 mm); the rest is bending/play downstream of the encoders (wrist bracket, gripper, cube in the pads). Shoulder and elbow trims saturate at the 5 deg clamp, so this pose with 500 g is at the limit of what the trim loop can correct.</t>
        </is>
      </c>
    </row>
    <row r="17" ht="15" customHeight="1" s="32">
      <c r="A17" s="38" t="inlineStr">
        <is>
          <t>Rail voltages (R5)</t>
        </is>
      </c>
    </row>
    <row r="18" ht="30" customHeight="1" s="32">
      <c r="A18" s="35" t="inlineStr">
        <is>
          <t>Rail</t>
        </is>
      </c>
      <c r="B18" s="35" t="inlineStr">
        <is>
          <t>Rating min (V)</t>
        </is>
      </c>
      <c r="C18" s="35" t="inlineStr">
        <is>
          <t>Rating max (V)</t>
        </is>
      </c>
      <c r="D18" s="35" t="inlineStr">
        <is>
          <t>Idle (V)</t>
        </is>
      </c>
      <c r="E18" s="35" t="inlineStr">
        <is>
          <t>Holding 500 g extended (V)</t>
        </is>
      </c>
      <c r="F18" s="35" t="inlineStr">
        <is>
          <t>Lowest in fast move (V)</t>
        </is>
      </c>
      <c r="G18" s="35" t="inlineStr">
        <is>
          <t>Result</t>
        </is>
      </c>
      <c r="H18" s="35" t="inlineStr">
        <is>
          <t>Notes</t>
        </is>
      </c>
    </row>
    <row r="19" ht="15" customHeight="1" s="32">
      <c r="A19" s="41" t="inlineStr">
        <is>
          <t>#1 shoulder (DS5180), 8.0 V</t>
        </is>
      </c>
      <c r="B19" s="51" t="n">
        <v>6</v>
      </c>
      <c r="C19" s="51" t="n">
        <v>8.4</v>
      </c>
      <c r="D19" s="58" t="n">
        <v>8.119999999999999</v>
      </c>
      <c r="E19" s="51" t="n">
        <v>8.050000000000001</v>
      </c>
      <c r="F19" s="51" t="n">
        <v>7.78</v>
      </c>
      <c r="G19" s="53">
        <f>IF(OR(NOT(ISNUMBER(B19)),NOT(ISNUMBER(C19)),NOT(ISNUMBER(E19)),NOT(ISNUMBER(F19))),"not done",IF(AND(MIN(D19:F19)&gt;=B19,MAX(D19:F19)&lt;=C19),"PASS","FAIL"))</f>
        <v/>
      </c>
      <c r="H19" s="62" t="inlineStr">
        <is>
          <t>idle: bring-up 9 Oct; holding: 13 Oct W,0,0,0,0 + 500 g; fast move: one 8.7 cycle with 500 g, phone video of the meter: min 7.78 V in the side transfer, max 8.08 V while lowering the cube</t>
        </is>
      </c>
    </row>
    <row r="20" ht="15" customHeight="1" s="32">
      <c r="A20" s="41" t="inlineStr">
        <is>
          <t>#2 base and elbow (DS3240), 6.7 V</t>
        </is>
      </c>
      <c r="B20" s="51" t="n">
        <v>4.8</v>
      </c>
      <c r="C20" s="51" t="n">
        <v>6.8</v>
      </c>
      <c r="D20" s="58" t="n">
        <v>6.67</v>
      </c>
      <c r="E20" s="51" t="n">
        <v>6.63</v>
      </c>
      <c r="F20" s="51" t="n">
        <v>6.65</v>
      </c>
      <c r="G20" s="53">
        <f>IF(OR(NOT(ISNUMBER(B20)),NOT(ISNUMBER(C20)),NOT(ISNUMBER(E20)),NOT(ISNUMBER(F20))),"not done",IF(AND(MIN(D20:F20)&gt;=B20,MAX(D20:F20)&lt;=C20),"PASS","FAIL"))</f>
        <v/>
      </c>
      <c r="H20" s="62" t="inlineStr">
        <is>
          <t>idle: bring-up 9 Oct; holding: 13 Oct W,0,0,0,0 + 500 g; fast move: one 8.7 cycle with 500 g, phone video of the meter: 6.65-6.66 V throughout (elbow loads on the descents, base on the side transfer, so the peaks do not coincide)</t>
        </is>
      </c>
    </row>
    <row r="21" ht="15" customHeight="1" s="32">
      <c r="A21" s="41" t="inlineStr">
        <is>
          <t>#3 wrist and gripper (DS3225, MG996R), 6.5 V</t>
        </is>
      </c>
      <c r="B21" s="51" t="n">
        <v>4.8</v>
      </c>
      <c r="C21" s="51" t="n">
        <v>6.8</v>
      </c>
      <c r="D21" s="58" t="n">
        <v>6.54</v>
      </c>
      <c r="E21" s="51" t="n">
        <v>6.5</v>
      </c>
      <c r="F21" s="51" t="n">
        <v>6.51</v>
      </c>
      <c r="G21" s="53">
        <f>IF(OR(NOT(ISNUMBER(B21)),NOT(ISNUMBER(C21)),NOT(ISNUMBER(E21)),NOT(ISNUMBER(F21))),"not done",IF(AND(MIN(D21:F21)&gt;=B21,MAX(D21:F21)&lt;=C21),"PASS","FAIL"))</f>
        <v/>
      </c>
      <c r="H21" s="62" t="inlineStr">
        <is>
          <t>idle: bring-up 9 Oct; holding: 13 Oct W,0,0,0,0 + 500 g; fast move: one 8.7 cycle with 500 g, phone video of the meter: min 6.51 V in the side transfer, max 6.53 V on the descents and pickup</t>
        </is>
      </c>
    </row>
    <row r="22" ht="15" customHeight="1" s="32">
      <c r="A22" s="41" t="inlineStr">
        <is>
          <t>5 V logic</t>
        </is>
      </c>
      <c r="B22" s="51" t="n">
        <v>4.75</v>
      </c>
      <c r="C22" s="51" t="n">
        <v>5.25</v>
      </c>
      <c r="D22" s="58" t="n">
        <v>5.15</v>
      </c>
      <c r="E22" s="51" t="n">
        <v>5.06</v>
      </c>
      <c r="F22" s="51" t="n">
        <v>5.15</v>
      </c>
      <c r="G22" s="53">
        <f>IF(OR(NOT(ISNUMBER(B22)),NOT(ISNUMBER(C22)),NOT(ISNUMBER(E22)),NOT(ISNUMBER(F22))),"not done",IF(AND(MIN(D22:F22)&gt;=B22,MAX(D22:F22)&lt;=C22),"PASS","FAIL"))</f>
        <v/>
      </c>
      <c r="H22" s="62" t="inlineStr">
        <is>
          <t>idle: bring-up 9 Oct; holding: 13 Oct 5.06 V; fast move: flat at 5.15 V over one 8.7 cycle with 500 g (phone video of the meter)</t>
        </is>
      </c>
    </row>
    <row r="23" ht="15" customHeight="1" s="32">
      <c r="A23" s="53" t="inlineStr">
        <is>
          <t>All rails</t>
        </is>
      </c>
      <c r="G23" s="53">
        <f>IF(COUNTIF(G19:G22,"not done")&gt;0,"not done",IF(COUNTIF(G19:G22,"FAIL")&gt;0,"FAIL","PASS"))</f>
        <v/>
      </c>
    </row>
    <row r="24">
      <c r="A24" s="31" t="inlineStr">
        <is>
          <t>Ratings B19:C22 are the typical published ranges (DS5180 6.0-8.4 V; DS3240 and DS3225 4.8-6.8 V; MG996R 4.8-7.2 V so rail 3 uses the narrower DS3225 range; 5 V USB-level input 4.75-5.25 V). Confirm each against your own datasheet before quoting. Fast-move values: lowest/highest reading on a handheld multimeter (display ~3 updates/s, phone video), so short transients are not captured.</t>
        </is>
      </c>
    </row>
    <row r="25" ht="15" customHeight="1" s="32">
      <c r="A25" s="38" t="inlineStr">
        <is>
          <t>Servo case temperatures</t>
        </is>
      </c>
    </row>
    <row r="26" ht="30" customHeight="1" s="32">
      <c r="A26" s="35" t="inlineStr">
        <is>
          <t>Servo</t>
        </is>
      </c>
      <c r="B26" s="35" t="inlineStr">
        <is>
          <t>After 10 cycles (°C)</t>
        </is>
      </c>
      <c r="C26" s="35" t="inlineStr">
        <is>
          <t>After 5 min hold extended (°C)</t>
        </is>
      </c>
      <c r="D26" s="35" t="inlineStr">
        <is>
          <t>Limit (°C)</t>
        </is>
      </c>
      <c r="E26" s="35" t="inlineStr">
        <is>
          <t>Result</t>
        </is>
      </c>
      <c r="F26" s="35" t="inlineStr">
        <is>
          <t>Baseline, holding home (°C)</t>
        </is>
      </c>
      <c r="G26" s="35" t="inlineStr">
        <is>
          <t>Rise over room (°C)</t>
        </is>
      </c>
      <c r="H26" s="35" t="inlineStr">
        <is>
          <t>Rise over room after cycles (°C)</t>
        </is>
      </c>
      <c r="I26" s="35" t="inlineStr">
        <is>
          <t>Rise over room after 5 min hold (°C)</t>
        </is>
      </c>
    </row>
    <row r="27" ht="15" customHeight="1" s="32">
      <c r="A27" s="41" t="inlineStr">
        <is>
          <t>Base (DS3240)</t>
        </is>
      </c>
      <c r="B27" s="48" t="n">
        <v>19.5</v>
      </c>
      <c r="C27" s="48" t="n">
        <v>21.3</v>
      </c>
      <c r="D27" s="42" t="n">
        <v>60</v>
      </c>
      <c r="E27" s="53">
        <f>IF(AND(NOT(ISNUMBER(B27)),NOT(ISNUMBER(C27))),"not done",IF(MAX(B27:C27)&lt;=D27,"PASS","FAIL"))</f>
        <v/>
      </c>
      <c r="F27" s="48" t="n">
        <v>21.3</v>
      </c>
      <c r="G27" s="53">
        <f>F27-$B$54</f>
        <v/>
      </c>
      <c r="H27" s="67">
        <f>B27-$E$54</f>
        <v/>
      </c>
      <c r="I27" s="68">
        <f>C27-$H$54</f>
        <v/>
      </c>
    </row>
    <row r="28" ht="15" customHeight="1" s="32">
      <c r="A28" s="41" t="inlineStr">
        <is>
          <t>Shoulder (DS5180)</t>
        </is>
      </c>
      <c r="B28" s="48" t="n">
        <v>23.9</v>
      </c>
      <c r="C28" s="48" t="n">
        <v>32.1</v>
      </c>
      <c r="D28" s="42" t="n">
        <v>60</v>
      </c>
      <c r="E28" s="53">
        <f>IF(AND(NOT(ISNUMBER(B28)),NOT(ISNUMBER(C28))),"not done",IF(MAX(B28:C28)&lt;=D28,"PASS","FAIL"))</f>
        <v/>
      </c>
      <c r="F28" s="48" t="n">
        <v>23.3</v>
      </c>
      <c r="G28" s="53">
        <f>F28-$B$54</f>
        <v/>
      </c>
      <c r="H28" s="67">
        <f>B28-$E$54</f>
        <v/>
      </c>
      <c r="I28" s="68">
        <f>C28-$H$54</f>
        <v/>
      </c>
    </row>
    <row r="29" ht="15" customHeight="1" s="32">
      <c r="A29" s="41" t="inlineStr">
        <is>
          <t>Elbow (DS3240)</t>
        </is>
      </c>
      <c r="B29" s="48" t="n">
        <v>29.8</v>
      </c>
      <c r="C29" s="48" t="n">
        <v>54.5</v>
      </c>
      <c r="D29" s="42" t="n">
        <v>60</v>
      </c>
      <c r="E29" s="53">
        <f>IF(AND(NOT(ISNUMBER(B29)),NOT(ISNUMBER(C29))),"not done",IF(MAX(B29:C29)&lt;=D29,"PASS","FAIL"))</f>
        <v/>
      </c>
      <c r="F29" s="48" t="n">
        <v>27.7</v>
      </c>
      <c r="G29" s="53">
        <f>F29-$B$54</f>
        <v/>
      </c>
      <c r="H29" s="67">
        <f>B29-$E$54</f>
        <v/>
      </c>
      <c r="I29" s="68">
        <f>C29-$H$54</f>
        <v/>
      </c>
    </row>
    <row r="30" ht="15" customHeight="1" s="32">
      <c r="A30" s="41" t="inlineStr">
        <is>
          <t>Wrist (DS3225)</t>
        </is>
      </c>
      <c r="B30" s="48" t="n">
        <v>19.4</v>
      </c>
      <c r="C30" s="48" t="n">
        <v>23.4</v>
      </c>
      <c r="D30" s="42" t="n">
        <v>60</v>
      </c>
      <c r="E30" s="53">
        <f>IF(AND(NOT(ISNUMBER(B30)),NOT(ISNUMBER(C30))),"not done",IF(MAX(B30:C30)&lt;=D30,"PASS","FAIL"))</f>
        <v/>
      </c>
      <c r="F30" s="48" t="n">
        <v>20.9</v>
      </c>
      <c r="G30" s="53">
        <f>F30-$B$54</f>
        <v/>
      </c>
      <c r="H30" s="67">
        <f>B30-$E$54</f>
        <v/>
      </c>
      <c r="I30" s="68">
        <f>C30-$H$54</f>
        <v/>
      </c>
    </row>
    <row r="31" ht="15" customHeight="1" s="32">
      <c r="A31" s="41" t="inlineStr">
        <is>
          <t>Gripper (MG996R)</t>
        </is>
      </c>
      <c r="B31" s="48" t="n">
        <v>19.7</v>
      </c>
      <c r="C31" s="48" t="n">
        <v>21.7</v>
      </c>
      <c r="D31" s="42" t="n">
        <v>60</v>
      </c>
      <c r="E31" s="53">
        <f>IF(AND(NOT(ISNUMBER(B31)),NOT(ISNUMBER(C31))),"not done",IF(MAX(B31:C31)&lt;=D31,"PASS","FAIL"))</f>
        <v/>
      </c>
      <c r="F31" s="48" t="n">
        <v>21</v>
      </c>
      <c r="G31" s="53">
        <f>F31-$B$54</f>
        <v/>
      </c>
      <c r="H31" s="67">
        <f>B31-$E$54</f>
        <v/>
      </c>
      <c r="I31" s="68">
        <f>C31-$H$54</f>
        <v/>
      </c>
    </row>
    <row r="32" ht="15" customHeight="1" s="32">
      <c r="A32" s="53" t="inlineStr">
        <is>
          <t>All servos</t>
        </is>
      </c>
      <c r="E32" s="53">
        <f>IF(COUNTIF(E27:E31,"not done")&gt;0,"not done",IF(COUNTIF(E27:E31,"FAIL")&gt;0,"FAIL","PASS"))</f>
        <v/>
      </c>
    </row>
    <row r="33" ht="15" customHeight="1" s="32">
      <c r="A33" s="34" t="inlineStr">
        <is>
          <t>Limit 60 °C is an assumed safe case temperature for PLA-CF mounts and the servos; change it if you use a datasheet value. After 5 min hold = W,0,0,0,0 with 500 g for 5 min (13 Oct), room 19.0 °C (H54). Elbow 54.5 °C is the closest to the limit.</t>
        </is>
      </c>
    </row>
    <row r="34">
      <c r="A34" s="31" t="inlineStr">
        <is>
          <t>After 10 cycles = measured ~5 min after the last 8.7 cycle (13 Oct, 25 cycles in total incl. 15 with 500 g), room 19.0 °C (E54).</t>
        </is>
      </c>
    </row>
    <row r="35" ht="15" customHeight="1" s="32">
      <c r="A35" s="38" t="inlineStr">
        <is>
          <t>E-stop (R7)</t>
        </is>
      </c>
    </row>
    <row r="36" ht="30" customHeight="1" s="32">
      <c r="A36" s="35" t="inlineStr">
        <is>
          <t>Press</t>
        </is>
      </c>
      <c r="B36" s="35" t="inlineStr">
        <is>
          <t>Servo rail after press (V)</t>
        </is>
      </c>
      <c r="C36" s="35" t="inlineStr">
        <is>
          <t>5 V logic stays on (Y/N)</t>
        </is>
      </c>
      <c r="D36" s="35" t="inlineStr">
        <is>
          <t>GUI shows E-stop (Y/N)</t>
        </is>
      </c>
      <c r="E36" s="35" t="inlineStr">
        <is>
          <t>No restart until Reset (Y/N)</t>
        </is>
      </c>
      <c r="F36" s="35" t="inlineStr">
        <is>
          <t>Result</t>
        </is>
      </c>
      <c r="G36" s="35" t="inlineStr">
        <is>
          <t>Stop time (s, phone video)</t>
        </is>
      </c>
      <c r="H36" s="35" t="inlineStr">
        <is>
          <t>Notes</t>
        </is>
      </c>
    </row>
    <row r="37" ht="15" customHeight="1" s="32">
      <c r="A37" s="41" t="n">
        <v>1</v>
      </c>
      <c r="B37" s="51" t="n">
        <v>0</v>
      </c>
      <c r="C37" s="42" t="inlineStr">
        <is>
          <t>Y</t>
        </is>
      </c>
      <c r="D37" s="42" t="inlineStr">
        <is>
          <t>Y</t>
        </is>
      </c>
      <c r="E37" s="42" t="inlineStr">
        <is>
          <t>Y</t>
        </is>
      </c>
      <c r="F37" s="53">
        <f>IF(B37="","not done",IF(AND(B37&lt;0.5,C37="Y",OR(D37="Y",D37="—"),E37="Y"),"PASS","FAIL"))</f>
        <v/>
      </c>
      <c r="G37" s="31" t="inlineStr">
        <is>
          <t>0.20–0.34 over the 10 presses</t>
        </is>
      </c>
      <c r="H37" s="41" t="inlineStr">
        <is>
          <t>13 Oct: pressed during motion; 0 V on each servo rail every time, GUI showed E-stop every time; ESP and 5 V stayed on throughout; arm only resumed after the E-stop latch was released AND Reset was pressed in the GUI.</t>
        </is>
      </c>
    </row>
    <row r="38" ht="15" customHeight="1" s="32">
      <c r="A38" s="41" t="n">
        <v>2</v>
      </c>
      <c r="B38" s="51" t="n">
        <v>0</v>
      </c>
      <c r="C38" s="42" t="inlineStr">
        <is>
          <t>Y</t>
        </is>
      </c>
      <c r="D38" s="42" t="inlineStr">
        <is>
          <t>Y</t>
        </is>
      </c>
      <c r="E38" s="42" t="inlineStr">
        <is>
          <t>Y</t>
        </is>
      </c>
      <c r="F38" s="53">
        <f>IF(B38="","not done",IF(AND(B38&lt;0.5,C38="Y",OR(D38="Y",D38="—"),E38="Y"),"PASS","FAIL"))</f>
        <v/>
      </c>
      <c r="H38" s="41" t="n"/>
    </row>
    <row r="39" ht="15" customHeight="1" s="32">
      <c r="A39" s="41" t="n">
        <v>3</v>
      </c>
      <c r="B39" s="51" t="n">
        <v>0</v>
      </c>
      <c r="C39" s="42" t="inlineStr">
        <is>
          <t>Y</t>
        </is>
      </c>
      <c r="D39" s="42" t="inlineStr">
        <is>
          <t>Y</t>
        </is>
      </c>
      <c r="E39" s="42" t="inlineStr">
        <is>
          <t>Y</t>
        </is>
      </c>
      <c r="F39" s="53">
        <f>IF(B39="","not done",IF(AND(B39&lt;0.5,C39="Y",OR(D39="Y",D39="—"),E39="Y"),"PASS","FAIL"))</f>
        <v/>
      </c>
      <c r="H39" s="41" t="n"/>
    </row>
    <row r="40" ht="15" customHeight="1" s="32">
      <c r="A40" s="41" t="n">
        <v>4</v>
      </c>
      <c r="B40" s="51" t="n">
        <v>0</v>
      </c>
      <c r="C40" s="42" t="inlineStr">
        <is>
          <t>Y</t>
        </is>
      </c>
      <c r="D40" s="42" t="inlineStr">
        <is>
          <t>Y</t>
        </is>
      </c>
      <c r="E40" s="42" t="inlineStr">
        <is>
          <t>Y</t>
        </is>
      </c>
      <c r="F40" s="53">
        <f>IF(B40="","not done",IF(AND(B40&lt;0.5,C40="Y",OR(D40="Y",D40="—"),E40="Y"),"PASS","FAIL"))</f>
        <v/>
      </c>
      <c r="H40" s="41" t="n"/>
    </row>
    <row r="41" ht="15" customHeight="1" s="32">
      <c r="A41" s="41" t="n">
        <v>5</v>
      </c>
      <c r="B41" s="51" t="n">
        <v>0</v>
      </c>
      <c r="C41" s="42" t="inlineStr">
        <is>
          <t>Y</t>
        </is>
      </c>
      <c r="D41" s="42" t="inlineStr">
        <is>
          <t>Y</t>
        </is>
      </c>
      <c r="E41" s="42" t="inlineStr">
        <is>
          <t>Y</t>
        </is>
      </c>
      <c r="F41" s="53">
        <f>IF(B41="","not done",IF(AND(B41&lt;0.5,C41="Y",OR(D41="Y",D41="—"),E41="Y"),"PASS","FAIL"))</f>
        <v/>
      </c>
      <c r="H41" s="41" t="n"/>
    </row>
    <row r="42" ht="15" customHeight="1" s="32">
      <c r="A42" s="41" t="n">
        <v>6</v>
      </c>
      <c r="B42" s="51" t="n">
        <v>0</v>
      </c>
      <c r="C42" s="42" t="inlineStr">
        <is>
          <t>Y</t>
        </is>
      </c>
      <c r="D42" s="42" t="inlineStr">
        <is>
          <t>Y</t>
        </is>
      </c>
      <c r="E42" s="42" t="inlineStr">
        <is>
          <t>Y</t>
        </is>
      </c>
      <c r="F42" s="53">
        <f>IF(B42="","not done",IF(AND(B42&lt;0.5,C42="Y",OR(D42="Y",D42="—"),E42="Y"),"PASS","FAIL"))</f>
        <v/>
      </c>
      <c r="H42" s="41" t="n"/>
    </row>
    <row r="43" ht="15" customHeight="1" s="32">
      <c r="A43" s="41" t="n">
        <v>7</v>
      </c>
      <c r="B43" s="51" t="n">
        <v>0</v>
      </c>
      <c r="C43" s="42" t="inlineStr">
        <is>
          <t>Y</t>
        </is>
      </c>
      <c r="D43" s="42" t="inlineStr">
        <is>
          <t>Y</t>
        </is>
      </c>
      <c r="E43" s="42" t="inlineStr">
        <is>
          <t>Y</t>
        </is>
      </c>
      <c r="F43" s="53">
        <f>IF(B43="","not done",IF(AND(B43&lt;0.5,C43="Y",OR(D43="Y",D43="—"),E43="Y"),"PASS","FAIL"))</f>
        <v/>
      </c>
      <c r="H43" s="41" t="n"/>
    </row>
    <row r="44" ht="15" customHeight="1" s="32">
      <c r="A44" s="41" t="n">
        <v>8</v>
      </c>
      <c r="B44" s="51" t="n">
        <v>0</v>
      </c>
      <c r="C44" s="42" t="inlineStr">
        <is>
          <t>Y</t>
        </is>
      </c>
      <c r="D44" s="42" t="inlineStr">
        <is>
          <t>Y</t>
        </is>
      </c>
      <c r="E44" s="42" t="inlineStr">
        <is>
          <t>Y</t>
        </is>
      </c>
      <c r="F44" s="53">
        <f>IF(B44="","not done",IF(AND(B44&lt;0.5,C44="Y",OR(D44="Y",D44="—"),E44="Y"),"PASS","FAIL"))</f>
        <v/>
      </c>
      <c r="H44" s="41" t="n"/>
    </row>
    <row r="45" ht="15" customHeight="1" s="32">
      <c r="A45" s="41" t="n">
        <v>9</v>
      </c>
      <c r="B45" s="51" t="n">
        <v>0</v>
      </c>
      <c r="C45" s="42" t="inlineStr">
        <is>
          <t>Y</t>
        </is>
      </c>
      <c r="D45" s="42" t="inlineStr">
        <is>
          <t>Y</t>
        </is>
      </c>
      <c r="E45" s="42" t="inlineStr">
        <is>
          <t>Y</t>
        </is>
      </c>
      <c r="F45" s="53">
        <f>IF(B45="","not done",IF(AND(B45&lt;0.5,C45="Y",OR(D45="Y",D45="—"),E45="Y"),"PASS","FAIL"))</f>
        <v/>
      </c>
      <c r="H45" s="41" t="n"/>
    </row>
    <row r="46" ht="15" customHeight="1" s="32">
      <c r="A46" s="41" t="n">
        <v>10</v>
      </c>
      <c r="B46" s="51" t="n">
        <v>0</v>
      </c>
      <c r="C46" s="42" t="inlineStr">
        <is>
          <t>Y</t>
        </is>
      </c>
      <c r="D46" s="42" t="inlineStr">
        <is>
          <t>Y</t>
        </is>
      </c>
      <c r="E46" s="42" t="inlineStr">
        <is>
          <t>Y</t>
        </is>
      </c>
      <c r="F46" s="53">
        <f>IF(B46="","not done",IF(AND(B46&lt;0.5,C46="Y",OR(D46="Y",D46="—"),E46="Y"),"PASS","FAIL"))</f>
        <v/>
      </c>
      <c r="H46" s="41" t="n"/>
    </row>
    <row r="47" ht="15" customHeight="1" s="32">
      <c r="A47" s="41" t="inlineStr">
        <is>
          <t>signal wire disconnected</t>
        </is>
      </c>
      <c r="B47" s="51" t="n">
        <v>0</v>
      </c>
      <c r="C47" s="42" t="inlineStr">
        <is>
          <t>Y</t>
        </is>
      </c>
      <c r="D47" s="41" t="inlineStr">
        <is>
          <t>—</t>
        </is>
      </c>
      <c r="E47" s="42" t="inlineStr">
        <is>
          <t>N</t>
        </is>
      </c>
      <c r="F47" s="53">
        <f>IF(B47="","not done",IF(AND(B47&lt;0.5,C47="Y"),"PASS (cut only)","FAIL"))</f>
        <v/>
      </c>
      <c r="H47" s="62" t="inlineStr">
        <is>
          <t>Relay still cut all servo rails to 0 V (hardware cut works without the ESP). GUI unaware (expected). On releasing the E-stop the rails came back with no reset and the arm jerked to its last commanded pose: the restart interlock depends on the GPIO 41 signal.</t>
        </is>
      </c>
    </row>
    <row r="48" ht="15" customHeight="1" s="32">
      <c r="A48" s="53" t="inlineStr">
        <is>
          <t>All presses</t>
        </is>
      </c>
      <c r="F48" s="53">
        <f>IF(COUNTIF(F37:F47,"not done")&gt;0,"not done",IF(COUNTIF(F37:F47,"FAIL")&gt;0,"FAIL","PASS"))</f>
        <v/>
      </c>
    </row>
    <row r="49" ht="15" customHeight="1" s="32">
      <c r="A49" s="34" t="inlineStr">
        <is>
          <t>Bring-up 9 Oct 2026: with the E-stop pressed the servo rails read 0.01 V and the ESP kept running.</t>
        </is>
      </c>
    </row>
    <row r="51" ht="15" customHeight="1" s="32">
      <c r="A51" s="53" t="inlineStr">
        <is>
          <t>Fuse intact after all tests (Y/N)</t>
        </is>
      </c>
      <c r="B51" s="42" t="inlineStr">
        <is>
          <t>Y</t>
        </is>
      </c>
      <c r="C51" s="53">
        <f>IF(B51="","not done",IF(B51="Y","PASS","FAIL"))</f>
        <v/>
      </c>
      <c r="D51" t="inlineStr">
        <is>
          <t>13 Oct, after all tests</t>
        </is>
      </c>
    </row>
    <row r="53" ht="15" customHeight="1" s="32">
      <c r="A53" s="38" t="inlineStr">
        <is>
          <t>Thermal baseline (Fluke VT02, 13 Oct 2026, before testing)</t>
        </is>
      </c>
      <c r="E53" s="63" t="inlineStr">
        <is>
          <t>After 8.7 (~5 min after the last cycle)</t>
        </is>
      </c>
      <c r="H53" s="63" t="inlineStr">
        <is>
          <t>After 5 min hold, 500 g extended</t>
        </is>
      </c>
    </row>
    <row r="54" ht="15" customHeight="1" s="32">
      <c r="A54" s="31" t="inlineStr">
        <is>
          <t>Room (°C)</t>
        </is>
      </c>
      <c r="B54" s="31" t="n">
        <v>19.9</v>
      </c>
      <c r="D54" s="31" t="inlineStr">
        <is>
          <t>Rise over room (°C) →</t>
        </is>
      </c>
      <c r="E54" s="31" t="n">
        <v>19</v>
      </c>
      <c r="G54" s="31" t="inlineStr">
        <is>
          <t>← rise over room (°C)</t>
        </is>
      </c>
      <c r="H54" s="31" t="n">
        <v>19</v>
      </c>
    </row>
    <row r="55" ht="15" customHeight="1" s="32">
      <c r="A55" s="31" t="inlineStr">
        <is>
          <t>Buck converter #1, shoulder rail (°C)</t>
        </is>
      </c>
      <c r="B55" s="31" t="n">
        <v>27.3</v>
      </c>
      <c r="C55" s="31">
        <f>B55-$B$54</f>
        <v/>
      </c>
      <c r="E55" s="31" t="n">
        <v>28</v>
      </c>
      <c r="F55" s="68">
        <f>E55-$E$54</f>
        <v/>
      </c>
      <c r="H55" s="31" t="n">
        <v>29.1</v>
      </c>
      <c r="I55" s="68">
        <f>H55-$H$54</f>
        <v/>
      </c>
    </row>
    <row r="56" ht="15" customHeight="1" s="32">
      <c r="A56" s="31" t="inlineStr">
        <is>
          <t>Buck converter #2, base + elbow rail (°C)</t>
        </is>
      </c>
      <c r="B56" s="31" t="n">
        <v>25.2</v>
      </c>
      <c r="C56" s="31">
        <f>B56-$B$54</f>
        <v/>
      </c>
      <c r="E56" s="31" t="n">
        <v>26.2</v>
      </c>
      <c r="F56" s="68">
        <f>E56-$E$54</f>
        <v/>
      </c>
      <c r="H56" s="31" t="n">
        <v>29.8</v>
      </c>
      <c r="I56" s="68">
        <f>H56-$H$54</f>
        <v/>
      </c>
    </row>
    <row r="57" ht="15" customHeight="1" s="32">
      <c r="A57" s="31" t="inlineStr">
        <is>
          <t>Buck converter #3, wrist + gripper rail (°C)</t>
        </is>
      </c>
      <c r="B57" s="31" t="n">
        <v>22.6</v>
      </c>
      <c r="C57" s="31">
        <f>B57-$B$54</f>
        <v/>
      </c>
      <c r="E57" s="31" t="n">
        <v>27.1</v>
      </c>
      <c r="F57" s="68">
        <f>E57-$E$54</f>
        <v/>
      </c>
      <c r="H57" s="31" t="n">
        <v>24.8</v>
      </c>
      <c r="I57" s="68">
        <f>H57-$H$54</f>
        <v/>
      </c>
    </row>
    <row r="58" ht="15" customHeight="1" s="32">
      <c r="A58" s="31" t="inlineStr">
        <is>
          <t>Bench power supply (°C)</t>
        </is>
      </c>
      <c r="B58" s="31" t="n">
        <v>30.3</v>
      </c>
      <c r="C58" s="31">
        <f>B58-$B$54</f>
        <v/>
      </c>
      <c r="E58" s="31" t="n">
        <v>30.2</v>
      </c>
      <c r="F58" s="68">
        <f>E58-$E$54</f>
        <v/>
      </c>
      <c r="H58" s="31" t="n">
        <v>31.3</v>
      </c>
      <c r="I58" s="68">
        <f>H58-$H$54</f>
        <v/>
      </c>
    </row>
    <row r="59" ht="15" customHeight="1" s="32">
      <c r="A59" s="31" t="inlineStr">
        <is>
          <t>ESP32 and INA219 not imaged: buried in the wiring loom. Both dissipate &lt; 0.5 W (ESP32 ≈ 0.33 W, INA219 shunt ≈ 2 mW at 0.15 A).</t>
        </is>
      </c>
    </row>
    <row r="61">
      <c r="A61" s="31" t="inlineStr">
        <is>
          <t>E-stop relay (°C)</t>
        </is>
      </c>
      <c r="E61" s="31" t="n">
        <v>42.8</v>
      </c>
      <c r="F61" s="68">
        <f>E61-$E$54</f>
        <v/>
      </c>
      <c r="H61" s="31" t="n">
        <v>41.7</v>
      </c>
      <c r="I61" s="68">
        <f>H61-$H$54</f>
        <v/>
      </c>
    </row>
    <row r="62">
      <c r="A62" s="31" t="inlineStr">
        <is>
          <t>Relay not imaged at baseline. Hottest part after 8.7 (42.8 °C, +23.8 °C over room): coil held energised the whole time the arm runs, plus servo current through the contacts.</t>
        </is>
      </c>
    </row>
  </sheetData>
  <mergeCells count="5">
    <mergeCell ref="A4:H4"/>
    <mergeCell ref="A7:H7"/>
    <mergeCell ref="A5:H5"/>
    <mergeCell ref="A8:H8"/>
    <mergeCell ref="A6:H6"/>
  </mergeCells>
  <dataValidations count="3">
    <dataValidation sqref="B11" showDropDown="0" showInputMessage="0" showErrorMessage="0" allowBlank="1" type="list" errorStyle="stop" operator="between">
      <formula1>"Y,N"</formula1>
      <formula2>0</formula2>
    </dataValidation>
    <dataValidation sqref="C37:E47" showDropDown="0" showInputMessage="0" showErrorMessage="0" allowBlank="1" type="list" errorStyle="stop" operator="between">
      <formula1>"Y,N"</formula1>
      <formula2>0</formula2>
    </dataValidation>
    <dataValidation sqref="B51" showDropDown="0" showInputMessage="0" showErrorMessage="0" allowBlank="1" type="list" errorStyle="stop" operator="between">
      <formula1>"Y,N"</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2026-10-12T12:57:18Z</dcterms:created>
  <dcterms:modified xmlns:dcterms="http://purl.org/dc/terms/" xmlns:xsi="http://www.w3.org/2001/XMLSchema-instance" xsi:type="dcterms:W3CDTF">2026-10-13T21:20:48Z</dcterms:modified>
  <cp:revision>0</cp:revision>
</cp:coreProperties>
</file>